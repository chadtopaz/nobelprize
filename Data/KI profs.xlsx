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<sst xmlns="http://schemas.openxmlformats.org/spreadsheetml/2006/main" count="2173" uniqueCount="1315">
  <si>
    <t>qid</t>
  </si>
  <si>
    <t>link</t>
  </si>
  <si>
    <t>title</t>
  </si>
  <si>
    <t>dob</t>
  </si>
  <si>
    <t>dod</t>
  </si>
  <si>
    <t>note</t>
  </si>
  <si>
    <t>Min</t>
  </si>
  <si>
    <t>Max</t>
  </si>
  <si>
    <t>Q5785580</t>
  </si>
  <si>
    <t>https://sv.wikipedia.org/w/index.php?curid=737301</t>
  </si>
  <si>
    <t>Nils Peter Hamberg</t>
  </si>
  <si>
    <t>1815-11-04</t>
  </si>
  <si>
    <t>Q6080655</t>
  </si>
  <si>
    <t>https://sv.wikipedia.org/w/index.php?curid=155659</t>
  </si>
  <si>
    <t>Carl Jacob Rossander</t>
  </si>
  <si>
    <t>1828-07-20</t>
  </si>
  <si>
    <t>Q6231327</t>
  </si>
  <si>
    <t>https://sv.wikipedia.org/w/index.php?curid=529107</t>
  </si>
  <si>
    <t>Curt Wallis</t>
  </si>
  <si>
    <t>1845-03-09</t>
  </si>
  <si>
    <t>EO</t>
  </si>
  <si>
    <t>Q6235004</t>
  </si>
  <si>
    <t>https://sv.wikipedia.org/w/index.php?curid=730928</t>
  </si>
  <si>
    <t>Edvard Welander</t>
  </si>
  <si>
    <t>1846-03-04</t>
  </si>
  <si>
    <t>Q2214976</t>
  </si>
  <si>
    <t>https://sv.wikipedia.org/w/index.php?curid=591398</t>
  </si>
  <si>
    <t>Salomon Eberhard Henschen</t>
  </si>
  <si>
    <t>1847-02-28</t>
  </si>
  <si>
    <t>emer</t>
  </si>
  <si>
    <t>Q6014809</t>
  </si>
  <si>
    <t>https://sv.wikipedia.org/w/index.php?curid=1797406</t>
  </si>
  <si>
    <t>Erik Nordenson (medicinare)</t>
  </si>
  <si>
    <t>1847-05-12</t>
  </si>
  <si>
    <t>Q524574</t>
  </si>
  <si>
    <t>https://sv.wikipedia.org/w/index.php?curid=546876</t>
  </si>
  <si>
    <t>Oskar Medin</t>
  </si>
  <si>
    <t>1847-08-14</t>
  </si>
  <si>
    <t>Q6228296</t>
  </si>
  <si>
    <t>https://sv.wikipedia.org/w/index.php?curid=546955</t>
  </si>
  <si>
    <t>Jonas Wærn (professor)</t>
  </si>
  <si>
    <t>1849-05-23</t>
  </si>
  <si>
    <t>Q5627170</t>
  </si>
  <si>
    <t>https://sv.wikipedia.org/w/index.php?curid=727201</t>
  </si>
  <si>
    <t>Johan Gustaf Edgren</t>
  </si>
  <si>
    <t>1849-10-09</t>
  </si>
  <si>
    <t>Q6240354</t>
  </si>
  <si>
    <t>https://sv.wikipedia.org/w/index.php?curid=730807</t>
  </si>
  <si>
    <t>Johan Widmark</t>
  </si>
  <si>
    <t>1850-08-26</t>
  </si>
  <si>
    <t>Q6089519</t>
  </si>
  <si>
    <t>https://sv.wikipedia.org/w/index.php?curid=510799</t>
  </si>
  <si>
    <t>Mauritz Salin</t>
  </si>
  <si>
    <t>1851-01-05</t>
  </si>
  <si>
    <t>Q5571267</t>
  </si>
  <si>
    <t>https://sv.wikipedia.org/w/index.php?curid=508160</t>
  </si>
  <si>
    <t>John Berg</t>
  </si>
  <si>
    <t>1851-03-02</t>
  </si>
  <si>
    <t>Q5889957</t>
  </si>
  <si>
    <t>https://sv.wikipedia.org/w/index.php?curid=727191</t>
  </si>
  <si>
    <t>Severin Jolin</t>
  </si>
  <si>
    <t>1852-05-28</t>
  </si>
  <si>
    <t>Q5547606</t>
  </si>
  <si>
    <t>https://sv.wikipedia.org/w/index.php?curid=925233</t>
  </si>
  <si>
    <t>Ernst Almquist</t>
  </si>
  <si>
    <t>1852-08-10</t>
  </si>
  <si>
    <t>Q6237918</t>
  </si>
  <si>
    <t>https://sv.wikipedia.org/w/index.php?curid=555144</t>
  </si>
  <si>
    <t>Frans Westermark</t>
  </si>
  <si>
    <t>1853-11-05</t>
  </si>
  <si>
    <t>Q5907364</t>
  </si>
  <si>
    <t>https://sv.wikipedia.org/w/index.php?curid=730364</t>
  </si>
  <si>
    <t>Algot Key-Åberg</t>
  </si>
  <si>
    <t>1854-04-14</t>
  </si>
  <si>
    <t>Q6001663</t>
  </si>
  <si>
    <t>https://sv.wikipedia.org/w/index.php?curid=501481</t>
  </si>
  <si>
    <t>Karl Mörner</t>
  </si>
  <si>
    <t>1854-09-04</t>
  </si>
  <si>
    <t>Q5629627</t>
  </si>
  <si>
    <t>https://sv.wikipedia.org/w/index.php?curid=1467959</t>
  </si>
  <si>
    <t>Gustaf Ekehorn</t>
  </si>
  <si>
    <t>1857-03-22</t>
  </si>
  <si>
    <t>Q5946428</t>
  </si>
  <si>
    <t>https://sv.wikipedia.org/w/index.php?curid=452999</t>
  </si>
  <si>
    <t>Frithiof Lennmalm</t>
  </si>
  <si>
    <t>1858-09-24</t>
  </si>
  <si>
    <t>Q6195384</t>
  </si>
  <si>
    <t>https://sv.wikipedia.org/w/index.php?curid=557581</t>
  </si>
  <si>
    <t>Carl Sundberg (medicinare)</t>
  </si>
  <si>
    <t>1859-07-24</t>
  </si>
  <si>
    <t>Q6255388</t>
  </si>
  <si>
    <t>https://sv.wikipedia.org/w/index.php?curid=730785</t>
  </si>
  <si>
    <t>Jules Åkerman</t>
  </si>
  <si>
    <t>1861-09-12</t>
  </si>
  <si>
    <t>Q5886559</t>
  </si>
  <si>
    <t>https://sv.wikipedia.org/w/index.php?curid=1054574</t>
  </si>
  <si>
    <t>Johan Erik Johansson</t>
  </si>
  <si>
    <t>1862-03-22</t>
  </si>
  <si>
    <t>Q5749106</t>
  </si>
  <si>
    <t>https://sv.wikipedia.org/w/index.php?curid=257881</t>
  </si>
  <si>
    <t>Bror Gadelius</t>
  </si>
  <si>
    <t>1862-03-29</t>
  </si>
  <si>
    <t>Q6093961</t>
  </si>
  <si>
    <t>https://sv.wikipedia.org/w/index.php?curid=453878</t>
  </si>
  <si>
    <t>Carl Gustaf Santesson (farmakolog)</t>
  </si>
  <si>
    <t>1862-07-05</t>
  </si>
  <si>
    <t>Q6178944</t>
  </si>
  <si>
    <t>https://sv.wikipedia.org/w/index.php?curid=506691</t>
  </si>
  <si>
    <t>John Sjöqvist</t>
  </si>
  <si>
    <t>1863-04-18</t>
  </si>
  <si>
    <t>Q5796462</t>
  </si>
  <si>
    <t>https://sv.wikipedia.org/w/index.php?curid=1172960</t>
  </si>
  <si>
    <t>Gunnar Hedrén</t>
  </si>
  <si>
    <t>1865-04-20</t>
  </si>
  <si>
    <t>Q5975966</t>
  </si>
  <si>
    <t>https://sv.wikipedia.org/w/index.php?curid=453896</t>
  </si>
  <si>
    <t>Henry Marcus</t>
  </si>
  <si>
    <t>1866-05-02</t>
  </si>
  <si>
    <t>Q5811467</t>
  </si>
  <si>
    <t>https://sv.wikipedia.org/w/index.php?curid=591429</t>
  </si>
  <si>
    <t>Emil Holmgren</t>
  </si>
  <si>
    <t>1866-05-14</t>
  </si>
  <si>
    <t>Q5616010</t>
  </si>
  <si>
    <t>https://sv.wikipedia.org/w/index.php?curid=1117307</t>
  </si>
  <si>
    <t>Albin Dalén</t>
  </si>
  <si>
    <t>1866-07-23</t>
  </si>
  <si>
    <t>Q5999086</t>
  </si>
  <si>
    <t>https://sv.wikipedia.org/w/index.php?curid=512977</t>
  </si>
  <si>
    <t>Erik Müller (professor)</t>
  </si>
  <si>
    <t>1866-08-05</t>
  </si>
  <si>
    <t>Q18245057</t>
  </si>
  <si>
    <t>https://sv.wikipedia.org/w/index.php?curid=1066851</t>
  </si>
  <si>
    <t>Alfred Pettersson (medicinsk forskare)</t>
  </si>
  <si>
    <t>1867-06-14</t>
  </si>
  <si>
    <t>Q5894161</t>
  </si>
  <si>
    <t>https://sv.wikipedia.org/w/index.php?curid=1461258</t>
  </si>
  <si>
    <t>Isak Jundell</t>
  </si>
  <si>
    <t>1867-06-16</t>
  </si>
  <si>
    <t>Q5547432</t>
  </si>
  <si>
    <t>https://sv.wikipedia.org/w/index.php?curid=1142987</t>
  </si>
  <si>
    <t>Johan Almkvist</t>
  </si>
  <si>
    <t>1869-07-03</t>
  </si>
  <si>
    <t>Q1230018</t>
  </si>
  <si>
    <t>https://sv.wikipedia.org/w/index.php?curid=1608086</t>
  </si>
  <si>
    <t>Patrik Haglund</t>
  </si>
  <si>
    <t>1870-05-27</t>
  </si>
  <si>
    <t>Q5811523</t>
  </si>
  <si>
    <t>https://sv.wikipedia.org/w/index.php?curid=297200</t>
  </si>
  <si>
    <t>Israel Holmgren</t>
  </si>
  <si>
    <t>1871-06-12</t>
  </si>
  <si>
    <t>Q113849291</t>
  </si>
  <si>
    <t>Wilhellm Edvard Wernstedt</t>
  </si>
  <si>
    <t>1872-08-29</t>
  </si>
  <si>
    <t>Q5907310</t>
  </si>
  <si>
    <t>https://sv.wikipedia.org/w/index.php?curid=1062904</t>
  </si>
  <si>
    <t>Einar Key</t>
  </si>
  <si>
    <t>1872-12-14</t>
  </si>
  <si>
    <t>Q5737859</t>
  </si>
  <si>
    <t>https://sv.wikipedia.org/w/index.php?curid=549094</t>
  </si>
  <si>
    <t>Hjalmar Forssner</t>
  </si>
  <si>
    <t>1873-10-03</t>
  </si>
  <si>
    <t>Q5811491</t>
  </si>
  <si>
    <t>https://sv.wikipedia.org/w/index.php?curid=996072</t>
  </si>
  <si>
    <t>Gunnar Holmgren (läkare)</t>
  </si>
  <si>
    <t>1875-09-27</t>
  </si>
  <si>
    <t>Q5737590</t>
  </si>
  <si>
    <t>https://sv.wikipedia.org/w/index.php?curid=996366</t>
  </si>
  <si>
    <t>Gösta Forssell</t>
  </si>
  <si>
    <t>1876-03-02</t>
  </si>
  <si>
    <t>Q5757267</t>
  </si>
  <si>
    <t>https://sv.wikipedia.org/w/index.php?curid=1133356</t>
  </si>
  <si>
    <t>Hans Gertz</t>
  </si>
  <si>
    <t>1876-06-24</t>
  </si>
  <si>
    <t>Q1605592</t>
  </si>
  <si>
    <t>https://sv.wikipedia.org/w/index.php?curid=1121985</t>
  </si>
  <si>
    <t>Henning Waldenström</t>
  </si>
  <si>
    <t>1877-08-14</t>
  </si>
  <si>
    <t>Q5544271</t>
  </si>
  <si>
    <t>https://sv.wikipedia.org/w/index.php?curid=555152</t>
  </si>
  <si>
    <t>Erik Ahlström</t>
  </si>
  <si>
    <t>1877-12-17</t>
  </si>
  <si>
    <t>Q5803857</t>
  </si>
  <si>
    <t>https://sv.wikipedia.org/w/index.php?curid=1645777</t>
  </si>
  <si>
    <t>Carl Hesser</t>
  </si>
  <si>
    <t>1879-05-11</t>
  </si>
  <si>
    <t>Q533628</t>
  </si>
  <si>
    <t>https://sv.wikipedia.org/w/index.php?curid=1027309</t>
  </si>
  <si>
    <t>Hans Christian Jacobæus</t>
  </si>
  <si>
    <t>1879-05-29</t>
  </si>
  <si>
    <t>Q6240777</t>
  </si>
  <si>
    <t>https://sv.wikipedia.org/w/index.php?curid=435142</t>
  </si>
  <si>
    <t>Viktor Wigert</t>
  </si>
  <si>
    <t>1880-10-30</t>
  </si>
  <si>
    <t>Q5801712</t>
  </si>
  <si>
    <t>https://sv.wikipedia.org/w/index.php?curid=591474</t>
  </si>
  <si>
    <t>Folke Henschen</t>
  </si>
  <si>
    <t>1881-11-07</t>
  </si>
  <si>
    <t>Q67173737</t>
  </si>
  <si>
    <t>https://sv.wikipedia.org/w/index.php?curid=8343653</t>
  </si>
  <si>
    <t>James Strandberg</t>
  </si>
  <si>
    <t>1883-01-01</t>
  </si>
  <si>
    <t>Q6014841</t>
  </si>
  <si>
    <t>https://sv.wikipedia.org/w/index.php?curid=1063757</t>
  </si>
  <si>
    <t>Wilhelm Nordenson</t>
  </si>
  <si>
    <t>1883-02-18</t>
  </si>
  <si>
    <t>Q6025890</t>
  </si>
  <si>
    <t>https://sv.wikipedia.org/w/index.php?curid=564506</t>
  </si>
  <si>
    <t>John Olow</t>
  </si>
  <si>
    <t>1883-12-30</t>
  </si>
  <si>
    <t>Q6202051</t>
  </si>
  <si>
    <t>https://sv.wikipedia.org/w/index.php?curid=1626930</t>
  </si>
  <si>
    <t>Gustaf Söderlund (läkare)</t>
  </si>
  <si>
    <t>1884-09-03</t>
  </si>
  <si>
    <t>Q16489003</t>
  </si>
  <si>
    <t>https://sv.wikipedia.org/w/index.php?curid=2780548</t>
  </si>
  <si>
    <t>Adolf Lichtenstein</t>
  </si>
  <si>
    <t>1884-11-01</t>
  </si>
  <si>
    <t>Q5574559</t>
  </si>
  <si>
    <t>https://sv.wikipedia.org/w/index.php?curid=1160243</t>
  </si>
  <si>
    <t>Elis Berven</t>
  </si>
  <si>
    <t>1885-03-04</t>
  </si>
  <si>
    <t>Q5573196</t>
  </si>
  <si>
    <t>https://sv.wikipedia.org/w/index.php?curid=1209392</t>
  </si>
  <si>
    <t>Hilding Bergstrand</t>
  </si>
  <si>
    <t>1886-01-12</t>
  </si>
  <si>
    <t>Q361802</t>
  </si>
  <si>
    <t>https://sv.wikipedia.org/w/index.php?curid=1053862</t>
  </si>
  <si>
    <t>Göran Liljestrand</t>
  </si>
  <si>
    <t>1886-04-16</t>
  </si>
  <si>
    <t>Q3606961</t>
  </si>
  <si>
    <t>https://sv.wikipedia.org/w/index.php?curid=1063294</t>
  </si>
  <si>
    <t>Åke Åkerlund</t>
  </si>
  <si>
    <t>1887-02-01</t>
  </si>
  <si>
    <t>Q5557877</t>
  </si>
  <si>
    <t>https://sv.wikipedia.org/w/index.php?curid=1054307</t>
  </si>
  <si>
    <t>Nils Antoni</t>
  </si>
  <si>
    <t>1887-09-05</t>
  </si>
  <si>
    <t>Q6069064</t>
  </si>
  <si>
    <t>https://sv.wikipedia.org/w/index.php?curid=1160875</t>
  </si>
  <si>
    <t>Olle Reuterwall</t>
  </si>
  <si>
    <t>1888-10-13</t>
  </si>
  <si>
    <t>Q41800959</t>
  </si>
  <si>
    <t>https://sv.wikipedia.org/w/index.php?curid=8107832</t>
  </si>
  <si>
    <t>Anders Kristenson</t>
  </si>
  <si>
    <t>1888-11-17</t>
  </si>
  <si>
    <t>Q5787150</t>
  </si>
  <si>
    <t>https://sv.wikipedia.org/w/index.php?curid=11453</t>
  </si>
  <si>
    <t>Einar Hammarsten</t>
  </si>
  <si>
    <t>1889-01-04</t>
  </si>
  <si>
    <t>Q53709703</t>
  </si>
  <si>
    <t>https://sv.wikipedia.org/w/index.php?curid=8241585</t>
  </si>
  <si>
    <t>Arvid Wallgren</t>
  </si>
  <si>
    <t>1889-10-05</t>
  </si>
  <si>
    <t>Q5799698</t>
  </si>
  <si>
    <t>https://sv.wikipedia.org/w/index.php?curid=1626920</t>
  </si>
  <si>
    <t>John Hellström</t>
  </si>
  <si>
    <t>1890-06-25</t>
  </si>
  <si>
    <t>Q4981402</t>
  </si>
  <si>
    <t>https://sv.wikipedia.org/w/index.php?curid=677466</t>
  </si>
  <si>
    <t>Nanna Svartz</t>
  </si>
  <si>
    <t>1890-07-25</t>
  </si>
  <si>
    <t>Q5582995</t>
  </si>
  <si>
    <t>https://sv.wikipedia.org/w/index.php?curid=1627563</t>
  </si>
  <si>
    <t>Wilhelm Bosæus</t>
  </si>
  <si>
    <t>1891-03-03</t>
  </si>
  <si>
    <t>Q924456</t>
  </si>
  <si>
    <t>https://sv.wikipedia.org/w/index.php?curid=788</t>
  </si>
  <si>
    <t>Herbert Olivecrona</t>
  </si>
  <si>
    <t>1891-07-11</t>
  </si>
  <si>
    <t>Q5819389</t>
  </si>
  <si>
    <t>https://sv.wikipedia.org/w/index.php?curid=145237</t>
  </si>
  <si>
    <t>Gösta Häggqvist</t>
  </si>
  <si>
    <t>1891-10-18</t>
  </si>
  <si>
    <t>Q42912199</t>
  </si>
  <si>
    <t>https://sv.wikipedia.org/w/index.php?curid=8159293</t>
  </si>
  <si>
    <t>Erik Lysholm</t>
  </si>
  <si>
    <t>1891-12-03</t>
  </si>
  <si>
    <t>Q24681257</t>
  </si>
  <si>
    <t>https://sv.wikipedia.org/w/index.php?curid=6791506</t>
  </si>
  <si>
    <t>Per Wetterdal</t>
  </si>
  <si>
    <t>1892-04-04</t>
  </si>
  <si>
    <t>Q16650059</t>
  </si>
  <si>
    <t>https://sv.wikipedia.org/w/index.php?curid=3900266</t>
  </si>
  <si>
    <t>Carl Næslund</t>
  </si>
  <si>
    <t>1892-04-09</t>
  </si>
  <si>
    <t>Q113848521</t>
  </si>
  <si>
    <t>Torsten Olof Skoog</t>
  </si>
  <si>
    <t>1894-06-02</t>
  </si>
  <si>
    <t>Q3719539</t>
  </si>
  <si>
    <t>https://sv.wikipedia.org/w/index.php?curid=1031257</t>
  </si>
  <si>
    <t>Erik Jorpes</t>
  </si>
  <si>
    <t>1894-07-15</t>
  </si>
  <si>
    <t>Q50825106</t>
  </si>
  <si>
    <t>https://sv.wikipedia.org/w/index.php?curid=8236943</t>
  </si>
  <si>
    <t>Curt Gyllenswärd</t>
  </si>
  <si>
    <t>1894-12-08</t>
  </si>
  <si>
    <t>Q6238303</t>
  </si>
  <si>
    <t>https://sv.wikipedia.org/w/index.php?curid=830105</t>
  </si>
  <si>
    <t>Axel Westman</t>
  </si>
  <si>
    <t>1894-12-29</t>
  </si>
  <si>
    <t>Q98794669</t>
  </si>
  <si>
    <t>Åke Wilton</t>
  </si>
  <si>
    <t>1895-02-11</t>
  </si>
  <si>
    <t>Q3495578</t>
  </si>
  <si>
    <t>https://sv.wikipedia.org/w/index.php?curid=1016242</t>
  </si>
  <si>
    <t>Torsten Sjögren</t>
  </si>
  <si>
    <t>1896-01-01</t>
  </si>
  <si>
    <t>Q345283</t>
  </si>
  <si>
    <t>https://sv.wikipedia.org/w/index.php?curid=666582</t>
  </si>
  <si>
    <t>Rolf Sievert</t>
  </si>
  <si>
    <t>1896-05-06</t>
  </si>
  <si>
    <t>Q6193210</t>
  </si>
  <si>
    <t>https://sv.wikipedia.org/w/index.php?curid=1626888</t>
  </si>
  <si>
    <t>Jan Paul Strömbeck</t>
  </si>
  <si>
    <t>1896-08-29</t>
  </si>
  <si>
    <t>Q2975553</t>
  </si>
  <si>
    <t>https://sv.wikipedia.org/w/index.php?curid=825801</t>
  </si>
  <si>
    <t>Clarence Crafoord (kirurg)</t>
  </si>
  <si>
    <t>1899-05-28</t>
  </si>
  <si>
    <t>Q217722</t>
  </si>
  <si>
    <t>https://sv.wikipedia.org/w/index.php?curid=292927</t>
  </si>
  <si>
    <t>Ragnar Granit</t>
  </si>
  <si>
    <t>Q28356555</t>
  </si>
  <si>
    <t>https://sv.wikipedia.org/w/index.php?curid=7170000</t>
  </si>
  <si>
    <t>Gunnar Fischer (läkare)</t>
  </si>
  <si>
    <t>Q100323544</t>
  </si>
  <si>
    <t>https://sv.wikipedia.org/w/index.php?curid=8493176</t>
  </si>
  <si>
    <t>Sven Hellerström (läkare)</t>
  </si>
  <si>
    <t>Q106412368</t>
  </si>
  <si>
    <t>https://sv.wikipedia.org/w/index.php?curid=8550157</t>
  </si>
  <si>
    <t>Lars Santesson</t>
  </si>
  <si>
    <t>Q6045970</t>
  </si>
  <si>
    <t>https://sv.wikipedia.org/w/index.php?curid=1193636</t>
  </si>
  <si>
    <t>Ture Petrén</t>
  </si>
  <si>
    <t>Q5743374</t>
  </si>
  <si>
    <t>https://sv.wikipedia.org/w/index.php?curid=1213656</t>
  </si>
  <si>
    <t>Sten Friberg</t>
  </si>
  <si>
    <t>Q156480</t>
  </si>
  <si>
    <t>https://sv.wikipedia.org/w/index.php?curid=10107</t>
  </si>
  <si>
    <t>Hugo Theorell</t>
  </si>
  <si>
    <t>Q6085925</t>
  </si>
  <si>
    <t>https://sv.wikipedia.org/w/index.php?curid=1627865</t>
  </si>
  <si>
    <t>Gösta Rylander</t>
  </si>
  <si>
    <t>Q16488974</t>
  </si>
  <si>
    <t>https://sv.wikipedia.org/w/index.php?curid=3710967</t>
  </si>
  <si>
    <t>Jack Adams-Ray</t>
  </si>
  <si>
    <t>Q112378301</t>
  </si>
  <si>
    <t>Arne Gunnar Forssberg</t>
  </si>
  <si>
    <t>Q237142</t>
  </si>
  <si>
    <t>https://sv.wikipedia.org/w/index.php?curid=455078</t>
  </si>
  <si>
    <t>Ulf von Euler</t>
  </si>
  <si>
    <t>Q113850957</t>
  </si>
  <si>
    <t>Sten Emil Josef Skoglund</t>
  </si>
  <si>
    <t>Q112565689</t>
  </si>
  <si>
    <t>Erik Adolf Mauritz Lindgren</t>
  </si>
  <si>
    <t>Q5954421</t>
  </si>
  <si>
    <t>https://sv.wikipedia.org/w/index.php?curid=1105745</t>
  </si>
  <si>
    <t>Knut Lindblom</t>
  </si>
  <si>
    <t>Q5751717</t>
  </si>
  <si>
    <t>https://sv.wikipedia.org/w/index.php?curid=1055861</t>
  </si>
  <si>
    <t>Sven Gard</t>
  </si>
  <si>
    <t>Q5544467</t>
  </si>
  <si>
    <t>https://sv.wikipedia.org/w/index.php?curid=1541033</t>
  </si>
  <si>
    <t>Sven Ahnsjö</t>
  </si>
  <si>
    <t>Q19631530</t>
  </si>
  <si>
    <t>https://sv.wikipedia.org/w/index.php?curid=4918851</t>
  </si>
  <si>
    <t>Gustav Giertz</t>
  </si>
  <si>
    <t>Q41805939</t>
  </si>
  <si>
    <t>https://sv.wikipedia.org/w/index.php?curid=8183758</t>
  </si>
  <si>
    <t>Berndt Malmgren</t>
  </si>
  <si>
    <t>Q27093876</t>
  </si>
  <si>
    <t>https://sv.wikipedia.org/w/index.php?curid=7578195</t>
  </si>
  <si>
    <t>Olof Torgny Sjöstrand</t>
  </si>
  <si>
    <t>Q949007</t>
  </si>
  <si>
    <t>https://sv.wikipedia.org/w/index.php?curid=1421102</t>
  </si>
  <si>
    <t>Carl-Henry Alström</t>
  </si>
  <si>
    <t>Q37008217</t>
  </si>
  <si>
    <t>https://sv.wikipedia.org/w/index.php?curid=8042731</t>
  </si>
  <si>
    <t>Sven Hultberg</t>
  </si>
  <si>
    <t>Q5866062</t>
  </si>
  <si>
    <t>https://sv.wikipedia.org/w/index.php?curid=1212492</t>
  </si>
  <si>
    <t>Torsten Gordh</t>
  </si>
  <si>
    <t>Q2980614</t>
  </si>
  <si>
    <t>https://sv.wikipedia.org/w/index.php?curid=1088359</t>
  </si>
  <si>
    <t>Lars Leksell</t>
  </si>
  <si>
    <t>Q28356551</t>
  </si>
  <si>
    <t>https://sv.wikipedia.org/w/index.php?curid=7169038</t>
  </si>
  <si>
    <t>Henrik Lagerlöf (läkare)</t>
  </si>
  <si>
    <t>Q5902678</t>
  </si>
  <si>
    <t>https://sv.wikipedia.org/w/index.php?curid=1251311</t>
  </si>
  <si>
    <t>Gösta Karpe</t>
  </si>
  <si>
    <t>Q18649261</t>
  </si>
  <si>
    <t>https://sv.wikipedia.org/w/index.php?curid=4887322</t>
  </si>
  <si>
    <t>Carl-Axel Hamberger</t>
  </si>
  <si>
    <t>Q16467604</t>
  </si>
  <si>
    <t>https://sv.wikipedia.org/w/index.php?curid=3958979</t>
  </si>
  <si>
    <t>John Lind (läkare)</t>
  </si>
  <si>
    <t>Q6179283</t>
  </si>
  <si>
    <t>https://sv.wikipedia.org/w/index.php?curid=1698018</t>
  </si>
  <si>
    <t>Hjalmar Sjövall</t>
  </si>
  <si>
    <t>Q5823399</t>
  </si>
  <si>
    <t>https://sv.wikipedia.org/w/index.php?curid=162172</t>
  </si>
  <si>
    <t>Gunnar Inghe</t>
  </si>
  <si>
    <t>Q5040248</t>
  </si>
  <si>
    <t>https://sv.wikipedia.org/w/index.php?curid=1019151</t>
  </si>
  <si>
    <t>Carl Gustaf Bernhard</t>
  </si>
  <si>
    <t>Q457472</t>
  </si>
  <si>
    <t>https://sv.wikipedia.org/w/index.php?curid=1016145</t>
  </si>
  <si>
    <t>Torbjörn Caspersson</t>
  </si>
  <si>
    <t>Q5823196</t>
  </si>
  <si>
    <t>https://sv.wikipedia.org/w/index.php?curid=1627814</t>
  </si>
  <si>
    <t>Axel Ingelman-Sundberg</t>
  </si>
  <si>
    <t>Q60674862</t>
  </si>
  <si>
    <t>Leonard Goldberg</t>
  </si>
  <si>
    <t>Q1351399</t>
  </si>
  <si>
    <t>https://sv.wikipedia.org/w/index.php?curid=1089726</t>
  </si>
  <si>
    <t>Eric Kugelberg</t>
  </si>
  <si>
    <t>Q6012308</t>
  </si>
  <si>
    <t>https://sv.wikipedia.org/w/index.php?curid=847478</t>
  </si>
  <si>
    <t>Åke Nilzén</t>
  </si>
  <si>
    <t>Q6220862</t>
  </si>
  <si>
    <t>https://sv.wikipedia.org/w/index.php?curid=1016141</t>
  </si>
  <si>
    <t>Börje Uvnäs</t>
  </si>
  <si>
    <t>Q5806792</t>
  </si>
  <si>
    <t>https://sv.wikipedia.org/w/index.php?curid=1121906</t>
  </si>
  <si>
    <t>Carl Hirsch</t>
  </si>
  <si>
    <t>Q5613496</t>
  </si>
  <si>
    <t>https://sv.wikipedia.org/w/index.php?curid=1016776</t>
  </si>
  <si>
    <t>Börje Cronholm</t>
  </si>
  <si>
    <t>Q5965177</t>
  </si>
  <si>
    <t>https://sv.wikipedia.org/w/index.php?curid=1061590</t>
  </si>
  <si>
    <t>Rolf Luft</t>
  </si>
  <si>
    <t>Q47319064</t>
  </si>
  <si>
    <t>https://sv.wikipedia.org/w/index.php?curid=8181252</t>
  </si>
  <si>
    <t>Bernhard Frankenhaeuser</t>
  </si>
  <si>
    <t>Q6210195</t>
  </si>
  <si>
    <t>https://sv.wikipedia.org/w/index.php?curid=890747</t>
  </si>
  <si>
    <t>Nils Thyresson</t>
  </si>
  <si>
    <t>Q5740442</t>
  </si>
  <si>
    <t>https://sv.wikipedia.org/w/index.php?curid=1116972</t>
  </si>
  <si>
    <t>Curt Franksson</t>
  </si>
  <si>
    <t>Q295696</t>
  </si>
  <si>
    <t>https://sv.wikipedia.org/w/index.php?curid=74383</t>
  </si>
  <si>
    <t>Sune Bergström</t>
  </si>
  <si>
    <t>Q5576993</t>
  </si>
  <si>
    <t>https://sv.wikipedia.org/w/index.php?curid=545286</t>
  </si>
  <si>
    <t xml:space="preserve">Gunnar Biörck </t>
  </si>
  <si>
    <t>Q5805821</t>
  </si>
  <si>
    <t>https://sv.wikipedia.org/w/index.php?curid=1152199</t>
  </si>
  <si>
    <t>Nils-Åke Hillarp</t>
  </si>
  <si>
    <t>Q5582295</t>
  </si>
  <si>
    <t>https://sv.wikipedia.org/w/index.php?curid=1058986</t>
  </si>
  <si>
    <t>Ulf Borell</t>
  </si>
  <si>
    <t>Q5777525</t>
  </si>
  <si>
    <t>https://sv.wikipedia.org/w/index.php?curid=1058049</t>
  </si>
  <si>
    <t>Bengt Gustafsson (läkare)</t>
  </si>
  <si>
    <t>Q5570142</t>
  </si>
  <si>
    <t>https://sv.wikipedia.org/w/index.php?curid=1890880</t>
  </si>
  <si>
    <t>Elias Bengtsson</t>
  </si>
  <si>
    <t>Q1907254</t>
  </si>
  <si>
    <t>https://sv.wikipedia.org/w/index.php?curid=825815</t>
  </si>
  <si>
    <t>Viking Björk</t>
  </si>
  <si>
    <t>Q113851015</t>
  </si>
  <si>
    <t>Bengt Olof Engfeldt</t>
  </si>
  <si>
    <t>Q109812522</t>
  </si>
  <si>
    <t>Lars Torsten Friberg</t>
  </si>
  <si>
    <t>Q4121440</t>
  </si>
  <si>
    <t>https://sv.wikipedia.org/w/index.php?curid=1060954</t>
  </si>
  <si>
    <t>Arne Engström</t>
  </si>
  <si>
    <t>Q113850554</t>
  </si>
  <si>
    <t>Björn Nordenström</t>
  </si>
  <si>
    <t>Q6252300</t>
  </si>
  <si>
    <t>https://sv.wikipedia.org/w/index.php?curid=1089704</t>
  </si>
  <si>
    <t>Rolf Zetterström</t>
  </si>
  <si>
    <t>Q100948851</t>
  </si>
  <si>
    <t>Bo Thorell</t>
  </si>
  <si>
    <t>Q95197754</t>
  </si>
  <si>
    <t>Giuseppe Bertani</t>
  </si>
  <si>
    <t>Q113850390</t>
  </si>
  <si>
    <t>Rune Ellert Walstam</t>
  </si>
  <si>
    <t>Q316519</t>
  </si>
  <si>
    <t>https://sv.wikipedia.org/w/index.php?curid=72110</t>
  </si>
  <si>
    <t>Jerzy Einhorn</t>
  </si>
  <si>
    <t>Q513281</t>
  </si>
  <si>
    <t>https://sv.wikipedia.org/w/index.php?curid=97236</t>
  </si>
  <si>
    <t>Georg Klein</t>
  </si>
  <si>
    <t>Q6066700</t>
  </si>
  <si>
    <t>https://sv.wikipedia.org/w/index.php?curid=1047323</t>
  </si>
  <si>
    <t>Peter Reichard</t>
  </si>
  <si>
    <t>Q6053343</t>
  </si>
  <si>
    <t>https://sv.wikipedia.org/w/index.php?curid=1093067</t>
  </si>
  <si>
    <t>Jan Pontén</t>
  </si>
  <si>
    <t>Q6073030</t>
  </si>
  <si>
    <t>https://sv.wikipedia.org/w/index.php?curid=1054884</t>
  </si>
  <si>
    <t>Nils Ringertz (1932–2002)</t>
  </si>
  <si>
    <t>http://runeberg.org/statskal/1881/0332.html</t>
  </si>
  <si>
    <t>http://runeberg.org/statskal/1905/0379.html</t>
  </si>
  <si>
    <t>http://runeberg.org/statskal/1915/0550.html</t>
  </si>
  <si>
    <t>http://runeberg.org/statskal/1921/0574.html</t>
  </si>
  <si>
    <t>http://runeberg.org/statskal/1925/0598.html</t>
  </si>
  <si>
    <t>http://runeberg.org/statskal/1931/0640.html</t>
  </si>
  <si>
    <t>http://runeberg.org/statskal/1940/0706.html</t>
  </si>
  <si>
    <t>http://runeberg.org/statskal/1942/0727.html</t>
  </si>
  <si>
    <t>http://runeberg.org/statskal/1945/0731.html</t>
  </si>
  <si>
    <t>http://runeberg.org/statskal/1947/0770.html</t>
  </si>
  <si>
    <t>http://runeberg.org/statskal/1955/0883.html</t>
  </si>
  <si>
    <t>http://runeberg.org/statskal/1963/0818.html</t>
  </si>
  <si>
    <t>http://runeberg.org/statskal/1964/0653.html</t>
  </si>
  <si>
    <t>http://runeberg.org/statskal/1970/0661.html</t>
  </si>
  <si>
    <t>startyear</t>
  </si>
  <si>
    <t>endyear</t>
  </si>
  <si>
    <t>sentences</t>
  </si>
  <si>
    <t>notes</t>
  </si>
  <si>
    <t>NA</t>
  </si>
  <si>
    <t>Följande år utnämndes han till [[Adjunkt (lärare)|adjunkt]] i [[kirurgi]] vid [[Karolinska institutet]] samt blev 1863 extra ordinarie kirurgie professor och ordinarie 1885-93.</t>
  </si>
  <si>
    <t>Q16650609</t>
  </si>
  <si>
    <t>https://sv.wikipedia.org/w/index.php?curid=3938682</t>
  </si>
  <si>
    <t>Axel Wimmerstedt</t>
  </si>
  <si>
    <t>1829-09-21</t>
  </si>
  <si>
    <t>Han blev [[tillförordnad]] [[Adjunkt (lärare)|adjunkt]] och [[laborator]] vid [[Karolinska institutet]] i Stockholm 1860, var sekreterare vid Karolinska institutet 1864–74, adjunkt i [[medicinsk kemi]] och [[toxikologi]] där 1866–79, lärare i farmaceutisk kemi och [[mineralogi]] vid [[Farmaceutiska institutet]] 1873–77, tillförordnad rättskemist i Stockholm 1874–76, [[extra ordinarie]] [[professor]] i [[kemi]] vid Karolinska institutet 1879–83 samt professor och rättskemist 1883–94.</t>
  </si>
  <si>
    <t>Q6256505</t>
  </si>
  <si>
    <t>https://sv.wikipedia.org/w/index.php?curid=730347</t>
  </si>
  <si>
    <t>Ernst Ödmansson</t>
  </si>
  <si>
    <t>1831-07-08</t>
  </si>
  <si>
    <t>Q1884596</t>
  </si>
  <si>
    <t>https://sv.wikipedia.org/w/index.php?curid=668211</t>
  </si>
  <si>
    <t>Magnus Ragnar Bruzelius</t>
  </si>
  <si>
    <t>1832-06-04</t>
  </si>
  <si>
    <t>År 1863 blev han docent i medicin vid [[Karolinska institutet]], 1864 [[Adjunkt (lärare)|adjunkt]] i samma ämne och biträdande [[överläkare]] vid [[Serafimerlasarettet]] samt var 1877–97 [[professor]] i medicin och överläkare vid nämnda lasarett.</t>
  </si>
  <si>
    <t>Q4218935</t>
  </si>
  <si>
    <t>https://sv.wikipedia.org/w/index.php?curid=434957</t>
  </si>
  <si>
    <t>Axel Key</t>
  </si>
  <si>
    <t>1832-10-25</t>
  </si>
  <si>
    <t>Redan året före Key erhöll doktorstiteln, utsågs han till tillfällig [[professor]] i patologisk anatomi vid Karolinska institutet, och 1862 utsågs han till ordinarie professor.</t>
  </si>
  <si>
    <t>Q6005908</t>
  </si>
  <si>
    <t>https://sv.wikipedia.org/w/index.php?curid=510711</t>
  </si>
  <si>
    <t>Wilhelm Netzel</t>
  </si>
  <si>
    <t>1834-11-01</t>
  </si>
  <si>
    <t>Han blev [[amanuens]] vid den obstetriska avdelningen på [[Allmänna barnbördshuset]] 1863, blev 1864 [[tillförordnad]] [[Adjunkt (lärare)|adjunkt]] i [[obstetrik]] och [[gynekologi]], ordinarie adjunkt 1865, [[extra ordinarie]] [[professor]] 1879, allt vid [[Karolinska institutet]].</t>
  </si>
  <si>
    <t>Q5964257</t>
  </si>
  <si>
    <t>https://sv.wikipedia.org/w/index.php?curid=508767</t>
  </si>
  <si>
    <t>Christian Lovén (läkare)</t>
  </si>
  <si>
    <t>1835-03-12</t>
  </si>
  <si>
    <t>Q6245043</t>
  </si>
  <si>
    <t>https://sv.wikipedia.org/w/index.php?curid=589788</t>
  </si>
  <si>
    <t>Per Johan Wising</t>
  </si>
  <si>
    <t>1842-04-17</t>
  </si>
  <si>
    <t>professor i medicin vid Karolinska institutet.</t>
  </si>
  <si>
    <t>Q640991</t>
  </si>
  <si>
    <t>https://sv.wikipedia.org/w/index.php?curid=96743</t>
  </si>
  <si>
    <t>Gustaf Retzius</t>
  </si>
  <si>
    <t>1842-10-17</t>
  </si>
  <si>
    <t>Av Karolinska institutets lärarkollegium kallades han 1888 till ordinarie professor i [[anatomi]] och utnämndes därtill 1889, sedan vissa av honom uppställda villkor godkänts av [[Sveriges riksdag|riksdagen]].</t>
  </si>
  <si>
    <t>Q16801895</t>
  </si>
  <si>
    <t>https://sv.wikipedia.org/w/index.php?curid=3966813</t>
  </si>
  <si>
    <t>Edvard Selander</t>
  </si>
  <si>
    <t>1846-07-27</t>
  </si>
  <si>
    <t>Åren 1900–12 var han professor i invärtes medicin vid [[Karolinska institutet]] i Stockholm.</t>
  </si>
  <si>
    <t>]] professuren i [[pediatrik]] vid Karolinska institutet, tillträdde densamma 1885 och var ordinarie professor i pediatrik 1909-1914.</t>
  </si>
  <si>
    <t>Q5807634</t>
  </si>
  <si>
    <t>https://sv.wikipedia.org/w/index.php?curid=454697</t>
  </si>
  <si>
    <t>Ernst Hjertström</t>
  </si>
  <si>
    <t>1849-07-01</t>
  </si>
  <si>
    <t>Han blev [[extra ordinarie]] [[professor]] i [[psykiatri]] vid [[Karolinska institutet]] och överläkare vid [[Konradsberg|Stockholms hospital]] 1890 ([[tillförordnad]] föregående år).</t>
  </si>
  <si>
    <t>Som [[laborator]] i [[fysiologi]] tjänstgjorde han 1877 i Uppsala och åren 1879-80 i Stockholm; han förordnades 1884 till [[docent]] i medicin vid Karolinska institutet, utnämndes 1888 till [[extra ordinarie]] [[professor]] och 1908 till ordinarie professor i samma ämne där.</t>
  </si>
  <si>
    <t>could be 1888-1909 or 1909-1915</t>
  </si>
  <si>
    <t>professor i kirurgi vid Karolinska institutet och biträdande överkirurg vid [[Serafimerlasarettet]] och innehade 1885–92 därjämte platsen som överläkare vid [[Kronprinsessan Lovisas vårdanstalt för sjuka barn]].</t>
  </si>
  <si>
    <t>Q5805365</t>
  </si>
  <si>
    <t>https://sv.wikipedia.org/w/index.php?curid=1020464</t>
  </si>
  <si>
    <t>Hildemar Hildebrand</t>
  </si>
  <si>
    <t>1851-06-05</t>
  </si>
  <si>
    <t>Q6233448</t>
  </si>
  <si>
    <t>https://sv.wikipedia.org/w/index.php?curid=670572</t>
  </si>
  <si>
    <t>Richard Wawrinsky</t>
  </si>
  <si>
    <t>1852-01-15</t>
  </si>
  <si>
    <t>professor (1890-91) i allmän hälsovårdslära vid [[Karolinska institutet]].</t>
  </si>
  <si>
    <t>Han ägnade sig senare åt [[Medicinsk vetenskap|medicinen]], blev [[medicine kandidat]] 1881 och [[medicine licentiat]] 1885, [[Promotion (ceremoni)|promoverades]] 1888 till [[medicine doktor]] i Uppsala samt utnämndes samma år till [[extra ordinarie]] [[professor]] i kemi och [[farmaci]] vid [[Karolinska institutet]] i Stockholm.</t>
  </si>
  <si>
    <t>År 1891 blev han [[professor]] i allmän hälsovårdslära vid [[Karolinska institutet]].</t>
  </si>
  <si>
    <t>Q553859</t>
  </si>
  <si>
    <t>https://sv.wikipedia.org/w/index.php?curid=454599</t>
  </si>
  <si>
    <t>Robert Tigerstedt</t>
  </si>
  <si>
    <t>1853-02-28</t>
  </si>
  <si>
    <t>Q5958425</t>
  </si>
  <si>
    <t>https://sv.wikipedia.org/w/index.php?curid=1121314</t>
  </si>
  <si>
    <t>Carl Albert Lindström</t>
  </si>
  <si>
    <t>1853-12-19</t>
  </si>
  <si>
    <t>och 1889 till ordinarie professor i [[rättsmedicin|rätts]]- och [[statsmedicin]] vid [[Karolinska institutet]].</t>
  </si>
  <si>
    <t>År 1886 utnämndes han även till professor i [[kemi]] och [[farmaci]] vid [[Karolinska institutet]], vars [[rektor]] var från 1898.</t>
  </si>
  <si>
    <t>Q3373754</t>
  </si>
  <si>
    <t>https://sv.wikipedia.org/w/index.php?curid=1598967</t>
  </si>
  <si>
    <t>Gustav Adolph Guldberg</t>
  </si>
  <si>
    <t>1854-10-27</t>
  </si>
  <si>
    <t>And blev [[docent]] i kirurgi vid [[Uppsala universitet]] 1892, lasarettsläkare i [[Härnösand]] samma år, i [[Sundsvall]] 1898, var [[professor]] i kirurgi i Uppsala 1909-1916 och vid [[Karolinska institutet]] 1916-22.</t>
  </si>
  <si>
    <t>Q21046584</t>
  </si>
  <si>
    <t>https://sv.wikipedia.org/w/index.php?curid=4991732</t>
  </si>
  <si>
    <t>Edvard Sederholm</t>
  </si>
  <si>
    <t>1857-04-01</t>
  </si>
  <si>
    <t>Q18244555</t>
  </si>
  <si>
    <t>https://sv.wikipedia.org/w/index.php?curid=4121833</t>
  </si>
  <si>
    <t>Magnus Möller</t>
  </si>
  <si>
    <t>1857-06-11</t>
  </si>
  <si>
    <t>Till ordinarie [[professor]] i syfilidologi vid Karolinska institutet utnämndes Möller 1911.</t>
  </si>
  <si>
    <t>Q5892772</t>
  </si>
  <si>
    <t>https://sv.wikipedia.org/w/index.php?curid=548951</t>
  </si>
  <si>
    <t>Carl David Josephson</t>
  </si>
  <si>
    <t>1858-02-25</t>
  </si>
  <si>
    <t>Josephson blev student i [[Uppsala]] 1874, [[medicine kandidat]] i Stockholm 1880, [[medicine licentiat]] där 1885, [[medicine doktor]] i [[Lund]] 1887 på avhandlingen ''Urogenitalfistlar hos kvinnan'', [[docent]] i [[obstetrik]] och [[gynekologi]] vid [[Karolinska institutet]] 1891 samt var [[professor]] i samma ämnen vid [[Uppsala universitet]] 1909–23.</t>
  </si>
  <si>
    <t>År 1889 utnämndes han till [[extra ordinarie]] professor i [[pediatrik]] och praktisk medicin i [[Lund]] samt kallades 1890 till Malmstensk professor i nervsjukdomar vid [[Karolinska institutet]].</t>
  </si>
  <si>
    <t>Q5546673</t>
  </si>
  <si>
    <t>https://sv.wikipedia.org/w/index.php?curid=555335</t>
  </si>
  <si>
    <t>Edvard Alin</t>
  </si>
  <si>
    <t>1859-04-18</t>
  </si>
  <si>
    <t>Han var 1890–99 biträdande läkare och 1899–1901 överläkare vid barnbördshuset [[Pro Patria]], 1900–06 [[docent]] i [[obstetrik]] och [[gynekologi]] vid [[Karolinska institutet]], 1896–1911 biträdande läkare samt 1911–24 överläkare med [[professors namn]] vid [[Södra barnbördshuset]] i Stockholm samt direktör för samma inrättning.</t>
  </si>
  <si>
    <t>Q6224300</t>
  </si>
  <si>
    <t>https://sv.wikipedia.org/w/index.php?curid=730846</t>
  </si>
  <si>
    <t>Artur Vestberg</t>
  </si>
  <si>
    <t>1859-06-26</t>
  </si>
  <si>
    <t>Samma år förordnades han till [[docent]] och [[laborator]] i experimentell [[patologi]] och patologisk [[anatomi]] i Uppsala samt utnämndes 1896 till ordinarie professor i patologi där och 1900 till professor i patologisk anatomi vid [[Karolinska institutet]].</t>
  </si>
  <si>
    <t>Hans fortsatta akademiska karriär kom däremot att äga rum vid [[Karolinska institutet]] där han 1893 blev [[prosektor]], 1895 [[extra ordinarie]] professor och 1909 ordinarie professor i kirurgi.</t>
  </si>
  <si>
    <t>{{för|politikern|Johan Erik Johansson i Forneby}}
 {{Faktamall biografi WD}}
 '''Johan Erik (Jöns) Johansson''', född [[22 mars]] [[1862]] i [[Skultuna församling]], [[Västmanland]], död [[31 mars]] [[1938]] i [[Stockholm]], var en [[Sverige|svensk]] [[fysiolog]] som var [[professor]] vid [[Karolinska Institutet]] från 1901 och som i början av 1900-talet deltog som expert i en stor mängd statliga [[kommitté]]er kring [[folkhälsa|folkhälsofrågor]].</t>
  </si>
  <si>
    <t>överläkare vid Stockholms hospital på [[Konradsberg]] och 1903 överläkare där och extra ordinarie [[professor]] i psykiatri vid [[Karolinska institutet]].</t>
  </si>
  <si>
    <t>År 1895 utnämndes han till [[extra ordinarie]] och 1909 till ordinarie [[professor]] i [[farmakodynamik]] och [[farmakognosi]] vid Karolinska institutet.</t>
  </si>
  <si>
    <t>Q26432984</t>
  </si>
  <si>
    <t>https://sv.wikipedia.org/w/index.php?curid=7180368</t>
  </si>
  <si>
    <t>John Rissler</t>
  </si>
  <si>
    <t>1863-01-21</t>
  </si>
  <si>
    <t>Efter avlagd examen förestod han 1891 [[Professor|professuren]] i [[histologi]] vid [[Karolinska institutet]] och ägnade sig därefter åt kirurgin.</t>
  </si>
  <si>
    <t>Han förordnades 1895 till [[docent]] i [[medicinsk kemi]] vid Karolinska institutet och var 1918–1928 professor i [[kemi]] och [[farmaci]] vid samma institut.</t>
  </si>
  <si>
    <t>Holmgren blev student 1886, [[medicine kandidat]] 1893, [[medicine licentiat]] 1898 och [[medicine doktor]] 1899 samt samma år docent, 1901 extra ordinarie professor i [[histologi]] vid [[Karolinska institutet]] samt 1910 ordinarie professor i [[histologi]] vid nämnda institut.</t>
  </si>
  <si>
    <t>Efter att 1897–1902 ha verkat som [[docent]] i oftalmologi vid [[Karolinska institutet]] blev han 1902 docent och 1906 [[extra ordinarie]] [[professor]] i samma ämne i Lund.</t>
  </si>
  <si>
    <t>lärare för undervisningen i [[histologi]] vid [[Karolinska institutet]] samt utnämndes 1895 till extra ordinarie professor i detta ämne vid nämnda institut.</t>
  </si>
  <si>
    <t>Q18244409</t>
  </si>
  <si>
    <t>https://sv.wikipedia.org/w/index.php?curid=4121847</t>
  </si>
  <si>
    <t>Ludvig Moberg</t>
  </si>
  <si>
    <t>1866-10-14</t>
  </si>
  <si>
    <t>Q26710620</t>
  </si>
  <si>
    <t>https://sv.wikipedia.org/w/index.php?curid=7182320</t>
  </si>
  <si>
    <t>William Forssell</t>
  </si>
  <si>
    <t>1867-02-10</t>
  </si>
  <si>
    <t>Q18243587</t>
  </si>
  <si>
    <t>https://sv.wikipedia.org/w/index.php?curid=3977884</t>
  </si>
  <si>
    <t>Ernst Landergren</t>
  </si>
  <si>
    <t>1867-02-13</t>
  </si>
  <si>
    <t>Q6045861</t>
  </si>
  <si>
    <t>https://sv.wikipedia.org/w/index.php?curid=305508</t>
  </si>
  <si>
    <t>Alfred Petrén</t>
  </si>
  <si>
    <t>1867-03-17</t>
  </si>
  <si>
    <t>Han förordnades 1902 till [[docent]] i [[patologi]]sk [[anatomi]] och 1904 till [[laborator]] i [[bakteriologi]] vid [[Karolinska institutet]], var 1907–1909 föreståndare för [[Stockholms stad]]s bakteriologiska laboratorium samt utnämndes 1909 till [[professor]] och föreståndare för [[Statsmedicinska anstalten]]s bakteriologiska avdelning.</t>
  </si>
  <si>
    <t>Efter att ha varit läkare vid flera av huvudstadens kliniker och sjukhus blev han vid Karolinska institutet [[docent]] 1898 i praktisk medicin, 1905 i [[pediatrik]] och 1914 [[professor]] i pediatrik samt överläkare och direktör för [[Allmänna barnhuset]].</t>
  </si>
  <si>
    <t>Han blev docent i syfilidologi 1912, och var professor vid [[Karolinska institutet]] 1913-1934.</t>
  </si>
  <si>
    <t>Q26463593</t>
  </si>
  <si>
    <t>https://sv.wikipedia.org/w/index.php?curid=7180401</t>
  </si>
  <si>
    <t>John Landström</t>
  </si>
  <si>
    <t>1869-07-29</t>
  </si>
  <si>
    <t>Han var [[professor]] vid [[Karolinska institutet]].</t>
  </si>
  <si>
    <t>Q358962</t>
  </si>
  <si>
    <t>https://sv.wikipedia.org/w/index.php?curid=733738</t>
  </si>
  <si>
    <t>Ivar Wickman</t>
  </si>
  <si>
    <t>1872-07-10</t>
  </si>
  <si>
    <t>Einar Key var 1923-1937 professor i kirurgi vid Karolinska institutet.</t>
  </si>
  <si>
    <t>Q5909638</t>
  </si>
  <si>
    <t>https://sv.wikipedia.org/w/index.php?curid=573556</t>
  </si>
  <si>
    <t>Olof Kinberg</t>
  </si>
  <si>
    <t>1873-09-23</t>
  </si>
  <si>
    <t>Holmgren blev [[student]] i Uppsala 1893, 1903 [[medicine licentiat]], 1908 [[medicine doktor]], 1909 [[docent]] och var 1912-1940 [[professor]] i öron-, hals- och nässjukdomar ([[otorinolaryngologi]]) vid [[Karolinska institutet]].</t>
  </si>
  <si>
    <t>År 1906 blev han [[medicine licentiat]] och 1913 [[medicine doktor]] vid [[Karolinska institutet]] samt erhöll 1916 en [[professor|professur]] i medicinsk radiologi där.</t>
  </si>
  <si>
    <t>Gertz blev [[medicine licentiat]] 1905, [[docent]] i [[Lund]] 1913, [[laborator]] vid [[Karolinska institutet]] i [[Stockholm]] 1913, och [[professor]] där 1928.</t>
  </si>
  <si>
    <t>Waldenström var 1936–1942 [[Professor (Sverige)|professor]] i ortopedi vid [[Karolinska Institutet]] och [[överläkare]] vid vanföreanstalten i Stockholm.</t>
  </si>
  <si>
    <t>Hesser, som var son till godsägaren Oscar Peterson, blev [[medicine doktor]] 1914, [[prosektor]] 1911 och [[professor]] vid [[Karolinska institutet]] 1925.</t>
  </si>
  <si>
    <t>1908 blev han docent i medicin vid [[Karolinska Institutet]], klinisk [[laborator]] där 1911, överläkare vid medicinska avdelningen på [[Maria sjukhus, Stockholm|Maria sjukhus]] 1914, professor i medicin vid Karolinska institutet 1916 och samma år överläkare vid medicinska kliniken II på Serafimerlasarettet.</t>
  </si>
  <si>
    <t>Q15965330</t>
  </si>
  <si>
    <t>https://sv.wikipedia.org/w/index.php?curid=3946301</t>
  </si>
  <si>
    <t>Josua Tillgren</t>
  </si>
  <si>
    <t>1881-09-11</t>
  </si>
  <si>
    <t>Tillgren blev [[medicine licentiat]] i Stockholm 1908, [[medicine doktor]] 1915, var [[docent]] i medicin vid [[Karolinska institutet]] 1915–46 och tilldelades [[professors namn]] 1932.</t>
  </si>
  <si>
    <t>Henschen blev medicine doktor och laborator i patologisk anatomi vid Karolinska institutet 1910 och var tillförordnad professor vid [[Veterinärhögskolan]] 1916–20.</t>
  </si>
  <si>
    <t>Q6215416</t>
  </si>
  <si>
    <t>https://sv.wikipedia.org/w/index.php?curid=548907</t>
  </si>
  <si>
    <t>Abraham Troell</t>
  </si>
  <si>
    <t>1881-12-18</t>
  </si>
  <si>
    <t>professor i kirurgi vid Karolinska institutet 1922–23, tilldelades 1928 [[professors namn]] samt var 1929–46 överläkare i kirurgi vid [[Sankt Görans sjukhus]] och från 1936 styresman där.</t>
  </si>
  <si>
    <t>Q6066026</t>
  </si>
  <si>
    <t>https://sv.wikipedia.org/w/index.php?curid=1155886</t>
  </si>
  <si>
    <t>John Reenstierna</t>
  </si>
  <si>
    <t>1882-10-16</t>
  </si>
  <si>
    <t>överläkare och [[professor]] vid [[Karolinska institutet]]s syfilidologiska klinik.</t>
  </si>
  <si>
    <t>Strandberg blev [[docent]] i [[syfilidologi]] och [[dermatologi]] vid [[Karolinska institutet]] 1922 och [[professor]] 1936.</t>
  </si>
  <si>
    <t>Nordenson var 1931-1948 professor i [[oftalmiatrik]] vid [[Karolinska institutet]].</t>
  </si>
  <si>
    <t>År 1923 utnämndes han till [[professor]] i [[obstetrik]] och [[gynekologi]] vid [[Uppsala universitet]] och överläkare vid obstetrisk-gynekologiska avdelningen på [[Akademiska sjukhuset]] samt var från 1931 var han professor i nämnda ämnen vid [[Karolinska institutet]] i [[Stockholm]] samt överläkare och direktör vid [[Allmänna barnbördshuset]].</t>
  </si>
  <si>
    <t>Han blev [[medicine doktor]] 1914, [[docent]] i kirurgi vid [[Uppsala universitet]] 1915, var andre läkare vid [[Sahlgrenska sjukhuset]] i [[Göteborg]] 1917–1921, underläkare vid [[Maria sjukhus, Stockholm|Maria sjukhus]] i [[Stockholm]] 1922–1924, biträdande överkirurg vid Maria sjukhus 1924, praktiserande läkare, docent vid [[Karolinska institutet]] 1922 och [[professor]] i kirurgi där 1928–1950.</t>
  </si>
  <si>
    <t>Han var 1927-1951 professor i [[farmakodynamik]] och [[farmakognosi]] vid [[Karolinska Institutet]].</t>
  </si>
  <si>
    <t>Han blev 1940 professor i medicin vid Karolinska institutet, överläkare vid [[Serafimerlasarettet]]s medicinska avdelning och ledamot av styrelsen för [[Statens institut för folkhälsan]].</t>
  </si>
  <si>
    <t>{{Faktamall biografi WD
 | namn  = 
 | bild  = 
 | alt = 
 | bildtext  = 
 | födelsenamn = 
 | födelsedatum  = 
 | födelseort  = 
 | dödsdatum = 
 | dödsort = 
 | begravningsplats = 
 | nationalitet  = 
 | alma mater  = 
 | yrke  = 
 | ämbete  = 
 | arbetsgivare  = 
 | noterbara_verk  = 
 | parti = 
 | religion  = 
 | make  = 
 | barn  = 
 | föräldrar = 
 }}
 '''Einar Hammarsten''', född [[4 januari]] [[1889]] i [[Norrköping]], död [[16 februari]] [[1968]] i [[Solna församling|Solna]], var en svensk läkare samt [[professor]] i [[kemi]] och [[farmaci]] vid [[Karolinska institutet]] mellan 1928 och 1957.</t>
  </si>
  <si>
    <t>{{Faktamall biografi WD
 | namn  = 
 | bild  = 
 | alt = 
 | bildtext  = 
 | födelsenamn = 
 | födelsedatum  = 
 | födelseort  = 
 | dödsdatum = 
 | dödsort = 
 | begravningsplats = 
 | nationalitet  = 
 | alma mater  = 
 | yrke  = 
 | ämbete  = 
 | arbetsgivare  = 
 | noterbara_verk  = 
 | parti = 
 | religion  = 
 | make  = 
 | barn  = 
 | föräldrar = 
 }}
 '''Arvid Johan Wallgren''', född [[5 oktober]] [[1889]] i [[Norra Råda socken]], död [[21 augusti]] [[1973]], var en svensk [[barnläkare]] och [[professor]] i [[pediatrik]] vid [[Karolinska Institutet|Karolinska institutet]] och en av Sveriges ledande läkare i arbetet mot barntuberkulos.</t>
  </si>
  <si>
    <t>Hellström blev [[medicine licentiat]] i [[Stockholm]] 1917, [[medicine doktor]] 1924, [[docent]] i [[kirurgi]] vid [[Karolinska institutet]] 1927 och var [[professor]] i [[kirurg]]i där 1939–1958 samt överläkare vid kirurgiska kliniken på [[Karolinska sjukhuset]] 1940–1958.</t>
  </si>
  <si>
    <t>Bosæus blev [[filosofie kandidat]] 1913, [[medicine licentiat]] i [[Stockholm]] 1918, [[medicine doktor]] i [[Uppsala]] 1927 på avhandlingen ''Beiträge zur Kenntnis der Genese der Ovarialembryome: experimentelle Untersuchungen über parthenogenetische Ovarialgravidität bei Amphibien'', [[docent]] samma år och [[laborator]] 1928 i [[patologisk anatomi]] i Uppsala, [[professor]] i rätts- och statsmedicin vid [[Karolinska institutet]] 1933–1957 och föreståndare för Statens rättsläkarstation i Stockholm 1944–1957.</t>
  </si>
  <si>
    <t>1923 blev han professor i histologi och anatomi vid Karolinska Institutet.</t>
  </si>
  <si>
    <t>Lysholm blev 1930 biträdande läkare vid Serafimerlasarettets röntgeninstitut och arbetade som vikarierande professor i radiologi vid [[Karolinska Institutet]] 1931-1940.</t>
  </si>
  <si>
    <t>Wetterdal, som var son till överläkare Henrik Wetterdal och Celina Ståhle, blev [[medicine kandidat]] 1913, [[medicine licentiat]] 1918, [[medicine doktor]] 1920 på avhandlingen ''Beiträge zur Morphologie des Gefässsystems'', [[docent]] i [[obstetrik]] och [[gynekologi]] vid [[Karolinska institutet]] 1925 och var [[professor]] i nämnda ämnen där 1949–1958.</t>
  </si>
  <si>
    <t>Næslund blev [[medicine licentiat]] vid [[Uppsala universitet]] 1921, [[medicine doktor]] 1922, [[docent]] samma år, och [[professor]] i [[Hygien|allmän hälsolära]] vid [[Karolinska institutet]] 1932.</t>
  </si>
  <si>
    <t>Q24680829</t>
  </si>
  <si>
    <t>https://sv.wikipedia.org/w/index.php?curid=6678164</t>
  </si>
  <si>
    <t>Folke Holtz</t>
  </si>
  <si>
    <t>1892-12-14</t>
  </si>
  <si>
    <t>Holtz blev underläkare på [[Falköpings lasarett]] 1920, [[amanuens]] vid [[kvinnoklinik]]en på [[Sabbatsbergs sjukhus]] 1923, var amanuens vid [[Obstetrik|obstetriska]] kliniken på [[Allmänna barnbördshuset]] 1925–1928, praktiserande läkare i [[Göteborg]] 1928–1930, läkare på [[sjukstuga]]n i [[Kopparberg]] 1930–1933, [[distriktsläkare]] i [[Gävle]] 1934, biträdande läkare på [[Södra barnbördshuset]] 1936–1943, lärare vid Stockholms [[Barnmorska|barnmorske]]läroanstalt 1936–1957, [[docent]] i obstetrik och [[gynekologi]] vid [[Uppsala universitet]] 1935, vid [[Karolinska institutet]] 1936–1958 och tilldelades [[professors namn]] 1955.</t>
  </si>
  <si>
    <t>Q19976349</t>
  </si>
  <si>
    <t>https://sv.wikipedia.org/w/index.php?curid=4948710</t>
  </si>
  <si>
    <t>Rudolf Brandberg</t>
  </si>
  <si>
    <t>1892-12-18</t>
  </si>
  <si>
    <t>Q6002028</t>
  </si>
  <si>
    <t>https://sv.wikipedia.org/w/index.php?curid=1626048</t>
  </si>
  <si>
    <t>John Naeslund</t>
  </si>
  <si>
    <t>1894-01-06</t>
  </si>
  <si>
    <t>Han var [[amanuens]] vid [[Akademiska sjukhuset]] i Uppsala 1925–30, docent i [[obstetrik]] och [[gynekologi]] vid [[Karolinska institutet]] 1931–35, biträdande lärare vid barnmorskeläroanstalten i Stockholm 1930–35, professor vid Uppsala universitet och överläkare vid gynekologisk-obstetriska kliniken på Akademiska sjukhuset 1935–60.</t>
  </si>
  <si>
    <t>Jorpes var professor i [[medicinsk kemi]] vid Karolinska institutet 1947–1963.</t>
  </si>
  <si>
    <t>Han blev [[docent]] i [[pediatrik]] vid [[Karolinska institutet]] 1930, var tillförordnad [[professor]] 1937–1939, [[överläkare]] vid [[Barn- och ungdomspsykiatriska kliniken|Sachsska barnsjukhuset]] 1939–1943, professor i pediatrik i Uppsala 1944–1950, vid Karolinska institutet 1950–1962, överläkare på [[Kronprinsessan Lovisas barnsjukhus]] 1950–1962 och dess direktör 1950–1960.</t>
  </si>
  <si>
    <t>Han var professor i obstetrik och gynekologi vid [[Uppsala universitet]] och överläkare vid [[Akademiska sjukhuset]] 1932-35, professor i samma ämnen vid [[Lunds universitet]] och överläkare vid länslasarettet i [[Lund]] 1935-42 och professor vid Karolinska institutet i samma ämnen och överläkare vid [[Karolinska sjukhuset]]s kvinnoklinik 1942-60.</t>
  </si>
  <si>
    <t>Q16650386</t>
  </si>
  <si>
    <t>https://sv.wikipedia.org/w/index.php?curid=3921324</t>
  </si>
  <si>
    <t>Sven Stenberg</t>
  </si>
  <si>
    <t>1895-01-18</t>
  </si>
  <si>
    <t>Q6238110</t>
  </si>
  <si>
    <t>https://sv.wikipedia.org/w/index.php?curid=1121216</t>
  </si>
  <si>
    <t>Gösta Westin</t>
  </si>
  <si>
    <t>1895-10-27</t>
  </si>
  <si>
    <t>{{Faktamall biografi WD}}
 '''Karl Gustaf ''Torsten'' Sjögren''', född [[30 januari]] [[1896]] i [[Södertälje]], [[Stockholms län]], död [[27 juli]] [[1974]] i [[Göteborgs Johannebergs församling]], var en svensk [[professor]] i [[psykiatri]] vid [[Karolinska institutet]] 1945-1961 och en av pionjärerna i modern svensk psykiatri.</t>
  </si>
  <si>
    <t>Sievert ledde fysiklaboratoriet vid [[Radiumhemmet]] från 1924 till 1937, då han blev chef för avdelningen för [[radiofysik]] vid Karolinska Institutet, och var professor där 1941-1965.</t>
  </si>
  <si>
    <t>This is where the measurement for radioactivity comes from!</t>
  </si>
  <si>
    <t>Q30938807</t>
  </si>
  <si>
    <t>https://sv.wikipedia.org/w/index.php?curid=8033351</t>
  </si>
  <si>
    <t>Einar Ljunggren</t>
  </si>
  <si>
    <t>1896-06-16</t>
  </si>
  <si>
    <t>Q5609616</t>
  </si>
  <si>
    <t>https://sv.wikipedia.org/w/index.php?curid=1630293</t>
  </si>
  <si>
    <t>Samuel Clason (läkare)</t>
  </si>
  <si>
    <t>1896-07-03</t>
  </si>
  <si>
    <t>Q2600489</t>
  </si>
  <si>
    <t>https://sv.wikipedia.org/w/index.php?curid=1016133</t>
  </si>
  <si>
    <t>Yngve Zotterman</t>
  </si>
  <si>
    <t>1898-09-20</t>
  </si>
  <si>
    <t>Han var [[laborator]] vid [[Karolinska Institutet]] 1940-1946 och erhöll professors namn 1945.</t>
  </si>
  <si>
    <t>Utöver detta var han [[professor]] i thoraxkirurgi vid [[Karolinska Institutet]] 1948–1966.</t>
  </si>
  <si>
    <t>Q24681020</t>
  </si>
  <si>
    <t>https://sv.wikipedia.org/w/index.php?curid=6723358</t>
  </si>
  <si>
    <t>Stig Karlson</t>
  </si>
  <si>
    <t>Karlson, som var son till handelsresande Adolf Fredrik Karlsson och Agnes Axlin, blev [[medicine licentiat]] i Stockholm 1930, [[medicine doktor]] 1944 på avhandlingen ''A contribution to the methods of recording the motility of the human uterus'', [[docent]] i medicin vid [[Karolinska institutet]] 1945 och tilldelades [[professors namn]] 1965.</t>
  </si>
  <si>
    <t>Q16649608</t>
  </si>
  <si>
    <t>https://sv.wikipedia.org/w/index.php?curid=3923895</t>
  </si>
  <si>
    <t>Sten Lagergren</t>
  </si>
  <si>
    <t>Han kallades sistnämnda år till [[Karolinska institutet]] i Solna, där han 1946–1967 var professor i [[neurofysiologi]].</t>
  </si>
  <si>
    <t>Q28356499</t>
  </si>
  <si>
    <t>https://sv.wikipedia.org/w/index.php?curid=6727047</t>
  </si>
  <si>
    <t>Eric Nordlander (läkare)</t>
  </si>
  <si>
    <t>Han blev 1944 professor i hälsovårdslära vid [[Karolinska institutet]] och föreståndare för avdelningen för allmän hygien vid [[Statens institut för folkhälsan]] samt 1949 läkare vid karantänstaten i Stockholm.</t>
  </si>
  <si>
    <t>Q6163294</t>
  </si>
  <si>
    <t>https://sv.wikipedia.org/w/index.php?curid=1452803</t>
  </si>
  <si>
    <t>Allan Ragnell</t>
  </si>
  <si>
    <t>Q9184586</t>
  </si>
  <si>
    <t>https://sv.wikipedia.org/w/index.php?curid=3921039</t>
  </si>
  <si>
    <t>Olof Sjöqvist</t>
  </si>
  <si>
    <t>Han var [[amanuens]] och [[prosektor]] i [[anatomi]] vid Karolinska institutet 1925–1935, tillförordnad [[professor]] 1936–1940 och professor i anatomi där 1940–1968.</t>
  </si>
  <si>
    <t>Q24681240</t>
  </si>
  <si>
    <t>https://sv.wikipedia.org/w/index.php?curid=6788430</t>
  </si>
  <si>
    <t>Herbert Fredrikson</t>
  </si>
  <si>
    <t>Fredrikson, som var son till kamrer Carl Fredrikson och Elin Johnsson, blev [[medicine licentiat]] i [[Stockholm]] 1929, [[medicine doktor]] 1939 på avhandlingen ''Endocrine factors involved in the development and function of the mammary glands of female rabbits'', var [[docent]] i [[obstetrik]] och [[gynekologi]] vid [[Karolinska institutet]] 1939–1941 och [[professor]] vid [[Göteborgs universitet]] från 1953.</t>
  </si>
  <si>
    <t>Q6085574</t>
  </si>
  <si>
    <t>https://sv.wikipedia.org/w/index.php?curid=1650965</t>
  </si>
  <si>
    <t>Håkan Rydin (farmakolog)</t>
  </si>
  <si>
    <t>Han var från 1943 [[professor]] i ortopedi vid [[Karolinska institutet]] och [[överläkare]] vid [[Norrbackainstitutet]].</t>
  </si>
  <si>
    <t>År 1959 blev han [[professor]] i [[biokemi]] vid [[Karolinska institutet]] och [[emeritus]] 1970.</t>
  </si>
  <si>
    <t>could start 1959</t>
  </si>
  <si>
    <t>Q5920707</t>
  </si>
  <si>
    <t>https://sv.wikipedia.org/w/index.php?curid=1629157</t>
  </si>
  <si>
    <t>Hans Ludvig Kottmeier</t>
  </si>
  <si>
    <t>?</t>
  </si>
  <si>
    <t>Rylander, vars far var [[grosshandlare]], blev [[medicine licentiat]] 1930, [[medicine doktor]] 1939, [[docent]] i [[psykiatri]] vid [[Karolinska institutet]] samma år, i psykiatri och [[rättspsykiatri]] 1947 och var [[professor]] i rättspsykiatri 1948–1970.</t>
  </si>
  <si>
    <t>Q5975067</t>
  </si>
  <si>
    <t>https://sv.wikipedia.org/w/index.php?curid=1037853</t>
  </si>
  <si>
    <t>Edgar Mannheimer</t>
  </si>
  <si>
    <t>dr]] och [[docent]] i [[farmakologi]] vid [[Karolinska institutet]] och var 1939–1971 professor i fysiologi vid institutet.</t>
  </si>
  <si>
    <t>Han var gift med konstnären [[Doris Ahnsjö|Doris Lindström]] och far till operasångaren [[Claes-Håkan Ahnsjö]], och var den förste [[professor]]n i [[barnpsykiatri]] vid [[Karolinska institutet]] 1958–72.</t>
  </si>
  <si>
    <t>Han var också professor i [[urologi]] vid Karolinska institutet 1967–1973.</t>
  </si>
  <si>
    <t>Han var 1946-1947 och 1948 tillförordnad och därefter 1948-1972 ordinarie professor i bakteriologi vid Karolinska Institutet.</t>
  </si>
  <si>
    <t>Q16649805</t>
  </si>
  <si>
    <t>https://sv.wikipedia.org/w/index.php?curid=3887207</t>
  </si>
  <si>
    <t>Gunnar Lundquist (läkare)</t>
  </si>
  <si>
    <t>Han var underläkare vid [[Långbro sjukhus]] 1935–42, biträdande läkare vid Stockholms öppna vård av psykiskt sjuka 1942–45, överinspektör för sinnessjukvården i riket 1946–49, överläkare vid Långbro sjukhus 1949–62 samt [[laborator]]/[[biträdande professor]] i klinisk alkoholforskning vid [[Karolinska institutet]] och överläkare vid kliniken för alkoholsjukdomar på Karolinska sjukhuset 1962–73.</t>
  </si>
  <si>
    <t>Från 1960 var han [[professor]] i psykiatri vid Karolinska Institutet och överläkare vid [[S:t Görans sjukhus]] psykiatriska klinik.</t>
  </si>
  <si>
    <t>År 1964 blev Gordh professor i anestesiologi vid Karolinska institutet.</t>
  </si>
  <si>
    <t>Q1275286</t>
  </si>
  <si>
    <t>https://sv.wikipedia.org/w/index.php?curid=3950689</t>
  </si>
  <si>
    <t>Karl-Axel Ekbom</t>
  </si>
  <si>
    <t>Efter [[studentexamen]] 1925 blev Ekbom [[medicine kandidat]] i [[Stockholm]] 1928, [[medicine licentiat]] 1934, [[medicine doktor]] 1945 samt var [[docent]] i neurologi vid [[Karolinska institutet]] 1945–58 och [[professor]] i neurologi vid [[Uppsala universitet]] 1958–74.</t>
  </si>
  <si>
    <t>Q30282722</t>
  </si>
  <si>
    <t>https://sv.wikipedia.org/w/index.php?curid=8029484</t>
  </si>
  <si>
    <t>Gösta Hagerman</t>
  </si>
  <si>
    <t>Q6199678</t>
  </si>
  <si>
    <t>https://sv.wikipedia.org/w/index.php?curid=1628047</t>
  </si>
  <si>
    <t>Herbert Swanberg</t>
  </si>
  <si>
    <t>Han blev [[professor]] i [[neurokirurgi]] vid [[Lunds universitet]] 1958, men återvände 1960 till Karolinska Institutet som professor i neurokirurgi, där han stannade till sin pensionering 1974.</t>
  </si>
  <si>
    <t>Han var verksam vid [[Karolinska Institutet]], där han disputerade 1945 och utnämndes till professor 1949.</t>
  </si>
  <si>
    <t>Q4949282</t>
  </si>
  <si>
    <t>https://sv.wikipedia.org/w/index.php?curid=1627848</t>
  </si>
  <si>
    <t>Mirjam Furuhjelm</t>
  </si>
  <si>
    <t>Hamberger var 1953–1960 [[professor]] i [[öron-, näs- och halssjukdomar]] vid [[Göteborgs universitet]] och var 1960–1975 professor i samma ämne vid [[Karolinska institutet]].</t>
  </si>
  <si>
    <t>Q24681275</t>
  </si>
  <si>
    <t>https://sv.wikipedia.org/w/index.php?curid=6796885</t>
  </si>
  <si>
    <t>Gustav Hedberg</t>
  </si>
  <si>
    <t>Han blev [[medicine licentiat]] i Stockholm 1938, [[medicine doktor]] 1950, [[docent]] i [[pediatrik]] vid [[Karolinska institutet]] 1950 samt var [[professor]] och överläkare vid [[Karolinska sjukhuset]]s barnklinik från 1957.</t>
  </si>
  <si>
    <t>http://www.wikiks.se/wp-content/uploads/2017/04/Lind.pdf</t>
  </si>
  <si>
    <t>Q5755381</t>
  </si>
  <si>
    <t>https://sv.wikipedia.org/w/index.php?curid=1628982</t>
  </si>
  <si>
    <t>Carl Gemzell</t>
  </si>
  <si>
    <t>Q5579215</t>
  </si>
  <si>
    <t>https://sv.wikipedia.org/w/index.php?curid=1628935</t>
  </si>
  <si>
    <t>Erik Block</t>
  </si>
  <si>
    <t>Q15695174</t>
  </si>
  <si>
    <t>https://sv.wikipedia.org/w/index.php?curid=3929510</t>
  </si>
  <si>
    <t>Torsten Romanus</t>
  </si>
  <si>
    <t>Han blev en av de första professorna i socialmedicin i Sverige, och Karolinska Institutets första.</t>
  </si>
  <si>
    <t>Bernhard [[disputation|disputerade]] 1940 på en [[doktorsavhandling]] om [[synsinne]]ts neurofysiologi och var [[professor]] i fysiologi vid [[Karolinska institutet]] 1948–1972.</t>
  </si>
  <si>
    <t>Q16650660</t>
  </si>
  <si>
    <t>https://sv.wikipedia.org/w/index.php?curid=3920685</t>
  </si>
  <si>
    <t>Curt Åmark</t>
  </si>
  <si>
    <t>{{Faktamall biografi WD}}
 '''Torbjörn Oskar Caspersson''', född [[15 oktober]] [[1910]] i [[Motala]], [[Östergötlands län]], död [[7 december]] [[1997]], var en svensk [[professor]] i medicinsk [[cell]]forskning och [[genetik]] vid [[Karolinska institutet]].</t>
  </si>
  <si>
    <t>Q15638852</t>
  </si>
  <si>
    <t>https://sv.wikipedia.org/w/index.php?curid=3927952</t>
  </si>
  <si>
    <t>Yngve Holmstedt</t>
  </si>
  <si>
    <t>[[professor]] i [[rättspsykiatri]] vid [[Karolinska institutet]] 1957 och från 1970.</t>
  </si>
  <si>
    <t>Ingelman-Sundberg blev [[medicine licentiat]] i Uppsala 1938, [[medicine doktor]] i Stockholm 1947, var [[docent]] i [[obstetrik]] och [[gynekologi]] vid [[Karolinska institutet]] 1947–1958 och [[professor]] där 1958–1977.</t>
  </si>
  <si>
    <t>Q86824129</t>
  </si>
  <si>
    <t>https://sv.wikipedia.org/w/index.php?curid=8419112</t>
  </si>
  <si>
    <t>Yngve Ericsson</t>
  </si>
  <si>
    <t>Han var tillförordnad [[professor]] i [[cariologi]] vid Tandläkarhögskolan i Stockholm 1949, blev [[laborator]] där 1950, professor där 1962 och var professor vid [[Karolinska Institutet]] 1964–1977.</t>
  </si>
  <si>
    <t>Q16945463</t>
  </si>
  <si>
    <t>https://sv.wikipedia.org/w/index.php?curid=3972336</t>
  </si>
  <si>
    <t>Nils Erik Påhlsson</t>
  </si>
  <si>
    <t>Han disputerade [[1944]] vid [[Karolinska Institutet]], blev senare [[professor]] i nervsjukdomar och var överläkare vid neurologiska kliniken på [[Karolinska sjukhuset]].</t>
  </si>
  <si>
    <t>1955 blev han [[professor]] i klinisk dermatologisk allergologi vid Karolinska institutet.</t>
  </si>
  <si>
    <t>Q750552</t>
  </si>
  <si>
    <t>https://sv.wikipedia.org/w/index.php?curid=8277251</t>
  </si>
  <si>
    <t>Astrid Fagraeus</t>
  </si>
  <si>
    <t>Åren 1961–1979 tjänstgjorde hon som [[professor]] i [[immunologi]] vid Karolinska Institutet.</t>
  </si>
  <si>
    <t>Han var professor i fysiologi i Lund 1949–1952 och blev professor i [[farmakologi]] 1952 vid [[Karolinska institutet]], en tjänst han uppehöll till 1979.</t>
  </si>
  <si>
    <t xml:space="preserve"> '''Lars ''Börje'' Cronholm''', född den 28 augusti 1913 i [[Lund]], död den 11 oktober 1983 i [[Stockholm]], var en svensk [[psykiater]] och [[professor]] i [[psykiatri]] vid [[Karolinska Institutet]].</t>
  </si>
  <si>
    <t>Rolf Luft, som blev [[medicine licentiat]] 1940, disputerade för [[medicine doktor]]sgrad 1944 och blev [[docent]], var [[överläkare]] 1957–1980 vid [[Karolinska sjukhuset]] i [[Solna kommun|Solna]] och vid [[Karolinska institutet]] där han 1958–1980 var professor i [[endokrinologi]].</t>
  </si>
  <si>
    <t>Q61946116</t>
  </si>
  <si>
    <t>https://sv.wikipedia.org/w/index.php?curid=8275162</t>
  </si>
  <si>
    <t>Arne Huggert</t>
  </si>
  <si>
    <t>Han flyttade med [[Ragnar Granit]]s forskargrupp till [[Karolinska Institutet]] i [[Stockholm]], blev [[medicine doktor]] där 1949, [[docent]] i [[neurofysiologi]] där samma år, var forskardocent 1957–1962, innehade forskartjänst vid [[Statens medicinska forskningsråd]] 1963–1965, var [[professor]] i [[fysiologi]] vid [[Umeå universitet]] 1965–1967 och i neurofysiologi vid Karolinska Institutet 1967–1981.</t>
  </si>
  <si>
    <t>Q75094766</t>
  </si>
  <si>
    <t>https://sv.wikipedia.org/w/index.php?curid=8371322</t>
  </si>
  <si>
    <t>Gunnel Westöö</t>
  </si>
  <si>
    <t>docent i kemi i Lund 1954, var [[laborator]] vid [[Statens institut för folkhälsan]] 1959–1971, vid [[Statens Livsmedelsverk]] 1972, [[professor]] där 1972–1975 och vid [[Karolinska Institutet]] 1975–1980.</t>
  </si>
  <si>
    <t>Han stannade i Uppsala fram till 1968 då han utnämndes till professor vid Karolinska institutet och ledde hudkliniken vid Karolinska sjukhuset fram till sin pensionering 1980.</t>
  </si>
  <si>
    <t>Q24285919</t>
  </si>
  <si>
    <t>https://sv.wikipedia.org/w/index.php?curid=6679718</t>
  </si>
  <si>
    <t>Lennart Lindgren (läkare)</t>
  </si>
  <si>
    <t>1958 återvände han till Karolinska Institutet, som professor i kemi.</t>
  </si>
  <si>
    <t>Q6151127</t>
  </si>
  <si>
    <t>https://sv.wikipedia.org/w/index.php?curid=1121245</t>
  </si>
  <si>
    <t>Anders Lundström (tandläkare)</t>
  </si>
  <si>
    <t>Q6215451</t>
  </si>
  <si>
    <t>https://sv.wikipedia.org/w/index.php?curid=1653571</t>
  </si>
  <si>
    <t>Lars Troell</t>
  </si>
  <si>
    <t>Under åren 1959–1961 var han [[professor]] i obstetrik och gynekologi vid [[Göteborgs universitet]] och 1961–1983 vid Karolinska institutet.</t>
  </si>
  <si>
    <t>Gustafsson disputerade på en avhandling om uppfödning av djur i bakteriefri miljö 1948, blev [[medicine licentiat]] vid [[Lunds universitet]] 1956, [[medicine doktor]] 1956, var [[docent]] i [[histologi]] i Lund 1948-1961, blev 1961 [[professor]] i medicinsk symbiosforskning vid [[Karolinska institutet]].</t>
  </si>
  <si>
    <t>Q24006054</t>
  </si>
  <si>
    <t>https://sv.wikipedia.org/w/index.php?curid=5001465</t>
  </si>
  <si>
    <t>Sven-Olof Berlin (läkare)</t>
  </si>
  <si>
    <t>Q5939059</t>
  </si>
  <si>
    <t>https://sv.wikipedia.org/w/index.php?curid=778125</t>
  </si>
  <si>
    <t>Yngve Larsson (professor)</t>
  </si>
  <si>
    <t>Q5951932</t>
  </si>
  <si>
    <t>https://sv.wikipedia.org/w/index.php?curid=1532050</t>
  </si>
  <si>
    <t>Åke Liljestrand</t>
  </si>
  <si>
    <t>Q24567710</t>
  </si>
  <si>
    <t>https://sv.wikipedia.org/w/index.php?curid=6690218</t>
  </si>
  <si>
    <t>Jan Asplund</t>
  </si>
  <si>
    <t>Q60607435</t>
  </si>
  <si>
    <t>https://sv.wikipedia.org/w/index.php?curid=8262785</t>
  </si>
  <si>
    <t>Holger Lundbäck</t>
  </si>
  <si>
    <t>Q38772304</t>
  </si>
  <si>
    <t>https://sv.wikipedia.org/w/index.php?curid=8049497</t>
  </si>
  <si>
    <t>Gunnar Moberger</t>
  </si>
  <si>
    <t>Han utnämndes till professor i [[tumör]][[patologi]] vid [[Karolinska institutet]] 1972 och var klinikchef för tumörpatologin vid Karolinska sjukhuset 1976–82.</t>
  </si>
  <si>
    <t>Q5812026</t>
  </si>
  <si>
    <t>https://sv.wikipedia.org/w/index.php?curid=1059430</t>
  </si>
  <si>
    <t>Bo Holmstedt</t>
  </si>
  <si>
    <t>Han blev [[docent]] i [[farmakologi]] vid Karolinska Institutet 1952, blev 1960 [[laborator]] i [[odontologi]]sk farmakologi vid [[Tandläkarhögskolan]], 1964 extra ordinarie [[professor]] i [[toxikologi]] vid [[Medicinska forskningsrådet]] och var professor i toxikologi 1979–1983 vid [[Karolinska institutet]].</t>
  </si>
  <si>
    <t>Q48978096</t>
  </si>
  <si>
    <t>https://sv.wikipedia.org/w/index.php?curid=8129174</t>
  </si>
  <si>
    <t>Loma Feigenberg</t>
  </si>
  <si>
    <t>Maj:t]]s tillstånd att i [[Sverige]] utöva läkekonsten samma år, blev [[medicine doktor]] i [[Stockholm]] 1977, [[docent]] i [[psykiatri]] (med inriktning på [[thanatologi]]) vid [[Karolinska institutet]] 1979 och tilldelades [[professors namn]] 1983.</t>
  </si>
  <si>
    <t>Q6031117</t>
  </si>
  <si>
    <t>https://sv.wikipedia.org/w/index.php?curid=1053806</t>
  </si>
  <si>
    <t>David Ottoson (professor)</t>
  </si>
  <si>
    <t>Han var 1974–1985 professor i [[fysiologi]] vid [[Karolinska Institutet]].</t>
  </si>
  <si>
    <t>Q5720520</t>
  </si>
  <si>
    <t>https://sv.wikipedia.org/w/index.php?curid=249181</t>
  </si>
  <si>
    <t>Curt von Euler-Chelpin</t>
  </si>
  <si>
    <t>Han var [[professor]] i neurofysiologi vid [[Karolinska institutet]] 1979–1985.</t>
  </si>
  <si>
    <t>Q4946510</t>
  </si>
  <si>
    <t>https://sv.wikipedia.org/w/index.php?curid=283291</t>
  </si>
  <si>
    <t>Ninni Elliot</t>
  </si>
  <si>
    <t>Sedermera [[professor (Sverige)|professor]] i thoraxkirurgi först vid [[Uppsala universitet]] och senare vid [[Karolinska Institutet]].</t>
  </si>
  <si>
    <t>Q165849</t>
  </si>
  <si>
    <t>https://sv.wikipedia.org/w/index.php?curid=1527255</t>
  </si>
  <si>
    <t>Arvid Wretlind</t>
  </si>
  <si>
    <t>Han var 1962–1970 professor i födoämneshygien vid [[Folkhälsoinstitutet]], universitetslektor 1970–1975 i näringslära vid Karolinska institutet och 1975–1977 professor i medicinsk näringslära vid Karolinska institutet.</t>
  </si>
  <si>
    <t>Q24398732</t>
  </si>
  <si>
    <t>https://sv.wikipedia.org/w/index.php?curid=6689347</t>
  </si>
  <si>
    <t>Lennart Nilsson (kvinnoläkare)</t>
  </si>
  <si>
    <t>Q16633324</t>
  </si>
  <si>
    <t>https://sv.wikipedia.org/w/index.php?curid=3920337</t>
  </si>
  <si>
    <t>Gunnar Nylander</t>
  </si>
  <si>
    <t>Han var forskningsläkare vid [[Statens medicinska forskningsråd]] 1966–1970, [[professor]] i kirurgi vid [[Karolinska institutet]] och överläkare vid kirurgiska kliniken på [[Karolinska sjukhuset]] 1971–1986 samt tillika chef för kirurgblocket 1973–1986.</t>
  </si>
  <si>
    <t>Q24285855</t>
  </si>
  <si>
    <t>https://sv.wikipedia.org/w/index.php?curid=6730329</t>
  </si>
  <si>
    <t>Jan Lindahl</t>
  </si>
  <si>
    <t>Q264842</t>
  </si>
  <si>
    <t>https://sv.wikipedia.org/w/index.php?curid=1067248</t>
  </si>
  <si>
    <t>Elwood Jensen</t>
  </si>
  <si>
    <t>Efter sin pensionering 1990 har Jensen under långa perioder verkat som gästprofessor vid flera universitet, först vid [[Cornell University]], under nästan sju år vid [[Universitetet i Hamburg]], tre år vid [[Karolinska Institutet]], och från 2002 [[University of Cincinnati]].</t>
  </si>
  <si>
    <t>Q5572620</t>
  </si>
  <si>
    <t>https://sv.wikipedia.org/w/index.php?curid=220533</t>
  </si>
  <si>
    <t>Gunnar Bergman (tandläkare)</t>
  </si>
  <si>
    <t>Han var 1952–1956 professor i fysikalisk cellforskning vid [[Karolinska institutet]] och 1956–1985 professor i medicinsk fysik vid samma institut.</t>
  </si>
  <si>
    <t>År 1958 blev Zetterström [[professor]] i [[pediatrik]] vid [[Göteborgs universitet]], där han verkade fram till 1962 och efter det vid [[Karolinska institutet]] till 1986.</t>
  </si>
  <si>
    <t>Q5965686</t>
  </si>
  <si>
    <t>https://sv.wikipedia.org/w/index.php?curid=1048426</t>
  </si>
  <si>
    <t>Anders Lundberg</t>
  </si>
  <si>
    <t>Lundberg blev student i Örebro, legitimerad läkare i Lund 1947, blev 1948 [[docent]] i [[neurofysiologi]] vid [[Karolinska institutet]] i Stockholm och var [[laborator]] i Lund 1954–1961 innan han 1961 tillträdde som [[professor]] och chef för den fysiologiska institutionen vid [[Göteborgs universitet]].</t>
  </si>
  <si>
    <t>Q5039763</t>
  </si>
  <si>
    <t>https://sv.wikipedia.org/w/index.php?curid=1090705</t>
  </si>
  <si>
    <t>Carl-Göran Hedén</t>
  </si>
  <si>
    <t>Q4990925</t>
  </si>
  <si>
    <t>https://sv.wikipedia.org/w/index.php?curid=1251359</t>
  </si>
  <si>
    <t>Birgitta Zetterström-Karpe</t>
  </si>
  <si>
    <t>Hon var verksam vid [[Karolinska Institutet]], där hon utnämndes till professor i [[oftalmologi]] 1974 som den andra kvinnliga professorn vid Karolinska Institutet efter [[Nanna Svartz]].</t>
  </si>
  <si>
    <t>Q39480795</t>
  </si>
  <si>
    <t>https://sv.wikipedia.org/w/index.php?curid=8065010</t>
  </si>
  <si>
    <t>John Sevastik</t>
  </si>
  <si>
    <t>Sevastik utnämndes till professor vid [[umeå universitet|universitetet i Umeå]] 1968 och från och med 1973 att vara professor i ortopedisk kirurgi vid Karolinska Institutet tillika överläkare inom samma verksamhetsområde vid [[Huddinge sjukhus]].</t>
  </si>
  <si>
    <t>Q5770888</t>
  </si>
  <si>
    <t>https://sv.wikipedia.org/w/index.php?curid=1056190</t>
  </si>
  <si>
    <t>Torgny Greitz</t>
  </si>
  <si>
    <t>Han var 1963–1987 [[överläkare]] vid [[Karolinska sjukhuset]] och 1973–1987 [[professor]] i [[neuroradiologi]] vid [[Karolinska institutet]].</t>
  </si>
  <si>
    <t>Q4935207</t>
  </si>
  <si>
    <t>https://sv.wikipedia.org/w/index.php?curid=1024781</t>
  </si>
  <si>
    <t>Margareta Almling</t>
  </si>
  <si>
    <t>Q921268</t>
  </si>
  <si>
    <t>https://sv.wikipedia.org/w/index.php?curid=11592</t>
  </si>
  <si>
    <t>Lars Gyllensten</t>
  </si>
  <si>
    <t>Han var [[prosektor]], sedermera [[biträdande professor]], i [[histologi]] vid [[Karolinska institutet]] från 1955 till 1973, då han vid 52 års ålder blev författare på heltid.</t>
  </si>
  <si>
    <t>associate professor of histology there from 1955 to 1973. https://en.wikipedia.org/wiki/Lars_Gyllensten#:~:text=associate%20professor%20of%20histology%20there%20from%201955%20to%201973</t>
  </si>
  <si>
    <t>Q18708851</t>
  </si>
  <si>
    <t>https://sv.wikipedia.org/w/index.php?curid=4897128</t>
  </si>
  <si>
    <t>Per-Olof Åstrand</t>
  </si>
  <si>
    <t>Han blev professor i kroppsövningarnas fysiologi vid GIH 1970-1977 samt vid Karolinska institutet 1977–1989.</t>
  </si>
  <si>
    <t>Q16633325</t>
  </si>
  <si>
    <t>https://sv.wikipedia.org/w/index.php?curid=3920318</t>
  </si>
  <si>
    <t>Ingvar Nylander</t>
  </si>
  <si>
    <t>Han innehade olika läkarförordnanden 1948–1957, blev biträdande överläkare vid barnpsykiatriska kliniken på [[Kronprinsessan Lovisas barnsjukhus]] 1957, socialläkare i Stockholm 1964, var överläkare vid barnpsykiatriska kliniken på [[Umeå lasarett]] 1965–1972, [[professor]] i barnpsykiatri vid [[Umeå universitet]] 1966–1972 och professor i barn- och ungdomspsykiatri vid Karolinska institutet och överläkare på [[Sankt Görans sjukhus]] 1972–1988.</t>
  </si>
  <si>
    <t>Q5554086</t>
  </si>
  <si>
    <t>https://sv.wikipedia.org/w/index.php?curid=1058077</t>
  </si>
  <si>
    <t>Bengt Andersson (fysiolog)</t>
  </si>
  <si>
    <t>Han var [[professor]] i fysiologi 1965-1971 vid [[Veterinärhögskolan]] och 1971-1981 vid [[Karolinska institutet]].</t>
  </si>
  <si>
    <t>Q56435308</t>
  </si>
  <si>
    <t>https://sv.wikipedia.org/w/index.php?curid=8218225</t>
  </si>
  <si>
    <t>Lars Kjellén</t>
  </si>
  <si>
    <t>Professorship at Lund University. https://sv.wikipedia.org/w/index.php?curid=8218225#:~:text=Parallel%20to%20the%20medical%20job%2C%20he%20continued%20his%20career%20in%20academia%2C%20and%20became%20professor%20of%20virology%20at%20Lund%20University%20in%201967%2C%20a%20position%20he%20maintained%20until%20hisemeritus%201989.</t>
  </si>
  <si>
    <t>Q5998653</t>
  </si>
  <si>
    <t>https://sv.wikipedia.org/w/index.php?curid=1093054</t>
  </si>
  <si>
    <t>Viktor Mutt</t>
  </si>
  <si>
    <t>Han disputerade 1959 vid [[Karolinska Institutet]], där han senare var [[professor]] i biokemi.</t>
  </si>
  <si>
    <t>https://regulatorypeptidehome.wordpress.com/viktor-mutt-1923-1998/#:~:text=Eventually%2C%20in%201979%2C%20he%20obtained%20a%20full%20professorship%20in%20biochemistry%20in%20Stockholm.%20After%20his%20retirement%20in%201989%2C%20Viktor%20continued%20his%20research%20until%20the%20very%20day%20of%20his%20death%20on%20September%209%2C%201998.</t>
  </si>
  <si>
    <t>Q5587090</t>
  </si>
  <si>
    <t>https://sv.wikipedia.org/w/index.php?curid=551679</t>
  </si>
  <si>
    <t>Sam Brody</t>
  </si>
  <si>
    <t>Under åren 1974–1989 var han verksam som professor i dessa ämnen vid Karolinska institutet samt 1973–89 som överläkare vid kvinnokliniken på [[Huddinge sjukhus]].</t>
  </si>
  <si>
    <t>Q16649936</t>
  </si>
  <si>
    <t>https://sv.wikipedia.org/w/index.php?curid=3924000</t>
  </si>
  <si>
    <t>Sten Mårtens</t>
  </si>
  <si>
    <t>Efter [[studentexamen]] i Stockholm 1942 blev Mårtens [[medicine kandidat]] i [[Uppsala]] 1945, [[medicine licentiat]] i Stockholm 1949, [[medicine doktor]] i Stockholm 1966 på avhandlingen ''Effects of Exogenous Human Ceruloplasmin in the Schizophrenic Syndrome'', [[docent]] i psykiatri vid [[Karolinska institutet]] samma år, överläkare vid Rålambshovs sjukhus ([[Konradsberg]]) 1967–72, chef vid [[Förenta nationerna]]s narkotikabyrå i [[Genève]] 1972–75, överläkare vid [[Beckomberga sjukhus]] 1975–78, [[biträdande professor]] vid University College i [[Cork]] 1978–82 och docent vid [[Trinity College, Dublin|Trinity College]] i [[Dublin]] från 1983.</t>
  </si>
  <si>
    <t>Associate Professor</t>
  </si>
  <si>
    <t>Q5547042</t>
  </si>
  <si>
    <t>https://sv.wikipedia.org/w/index.php?curid=1181892</t>
  </si>
  <si>
    <t>Lars-Göran Allgén</t>
  </si>
  <si>
    <t>Q6041981</t>
  </si>
  <si>
    <t>https://sv.wikipedia.org/w/index.php?curid=1639506</t>
  </si>
  <si>
    <t>Bengt Pernow</t>
  </si>
  <si>
    <t>Han var [[amanuens]] och assistent vid fysiologiska institutionen på [[Karolinska institutet]] 1947–53, [[underläkare]] vid [[kirurgi]]ska kliniken på [[Serafimerlasarettet]] 1953–54, vid medicinska kliniken samt klinisk fysiologiska och klinisk kemiska laboratoriet på [[Karolinska sjukhuset]] 1955–59, [[laborator]] och [[överläkare]] vid klinisk fysiologiska laboratoriet på Serafimerlasarettet 1959–71, [[professor (Sverige)|professor]] i klinisk fysiologi vid Karolinska institutet från 1972, överläkare på [[Huddinge sjukhus]] 1972–73, på Karolinska sjukhuset 1973–89, prorektor för Karolinska institutet 1973–77, chefsläkare på Karolinska sjukhuset 1975–77, rektor för Karolinska institutet 1977–83, ledamot av [[Nobelförsamlingen vid Karolinska Institutet]] och ordförande i dess [[Karolinska Institutets Nobelkommitté|Nobelkommitté]] 1979–81.</t>
  </si>
  <si>
    <t>Q249978</t>
  </si>
  <si>
    <t>https://sv.wikipedia.org/w/index.php?curid=1028422</t>
  </si>
  <si>
    <t>Eva Klein</t>
  </si>
  <si>
    <t>https://sv.wikipedia.org/w/index.php?curid=1028422#:~:text=Hon%20blev%201955%20docent%20i%20medicinsk%20cellforskning%20vid%20Karolinska%20institutet%20och%201962%20docent%20i%20tum%C3%B6rbiologi.%20Hon%20blev%20professor%201969.</t>
  </si>
  <si>
    <t>Q879647</t>
  </si>
  <si>
    <t>https://sv.wikipedia.org/w/index.php?curid=1481683</t>
  </si>
  <si>
    <t>Biörn Ivemark</t>
  </si>
  <si>
    <t>Associate Professor 1956-1960</t>
  </si>
  <si>
    <t>Q16163571</t>
  </si>
  <si>
    <t>https://sv.wikipedia.org/w/index.php?curid=3921276</t>
  </si>
  <si>
    <t>Clarence Blomquist</t>
  </si>
  <si>
    <t>År 1959 blev han [[docent]] i [[radioterapi]] vid [[Karolinska Institutet]] och 1967 [[överläkare]] vid [[Radiumhemmet]] och [[professor]] i [[radioterapi]].</t>
  </si>
  <si>
    <t>https://en.wikipedia.org/wiki/Jerzy_Einhorn#cite_note-lat-1:~:text=till%20he%20retired%20in%201992</t>
  </si>
  <si>
    <t>Han var [[professor]] i medicinsk och fysiologisk kemi vid [[Uppsala universitet]] [[1961]]–[[1963]] och blev professor i [[biokemi]] vid [[Karolinska institutet]] [[1971]].</t>
  </si>
  <si>
    <t>Other sources say started in 1964 https://nyheter.ki.se/in-memoriam-professor-peter-reichard-1925-2018#:~:text=and%20from%201964,continued%20his%20research.</t>
  </si>
  <si>
    <t>Q4948724</t>
  </si>
  <si>
    <t>https://sv.wikipedia.org/w/index.php?curid=10118</t>
  </si>
  <si>
    <t>Marianne Frankenhaeuser</t>
  </si>
  <si>
    <t>Hon innehade en forskartjänst vid [[Statens råd för samhällsforskning]] 1963–1965, var laborator i experimentell psykologi vid [[Statens medicinska forskningsråd]] 1965–1969, professor 1969–1980, och professor i psykologi vid [[Karolinska institutet]] 1980–1991.</t>
  </si>
  <si>
    <t>Q24018610</t>
  </si>
  <si>
    <t>https://sv.wikipedia.org/w/index.php?curid=6049354</t>
  </si>
  <si>
    <t>Erik Lycke</t>
  </si>
  <si>
    <r>
      <rPr>
        <rFont val="Arial"/>
        <color rgb="FF000000"/>
        <sz val="11.0"/>
      </rPr>
      <t xml:space="preserve">Professor at </t>
    </r>
    <r>
      <rPr>
        <rFont val="Arial"/>
        <color rgb="FF0645AD"/>
        <sz val="11.0"/>
        <u/>
      </rPr>
      <t>Gothenburg University</t>
    </r>
    <r>
      <rPr>
        <rFont val="Arial"/>
        <color rgb="FF0645AD"/>
        <sz val="11.0"/>
      </rPr>
      <t xml:space="preserve"> 1981. </t>
    </r>
    <r>
      <rPr>
        <rFont val="Arial"/>
        <color rgb="FF1155CC"/>
        <sz val="11.0"/>
        <u/>
      </rPr>
      <t>https://sv.wikipedia.org/w/index.php?curid=6049354</t>
    </r>
  </si>
  <si>
    <t>Q6145993</t>
  </si>
  <si>
    <t>https://sv.wikipedia.org/w/index.php?curid=2480568</t>
  </si>
  <si>
    <t>Argo Kövamees</t>
  </si>
  <si>
    <t>docent in 1969</t>
  </si>
  <si>
    <t>Han disputerade 1956 vid [[Karolinska Institutet]], där han var [[professor]] i [[tumör]]patologi 1969–1971, och var sedan professor i [[patologi]] från 1971 vid [[Akademiska sjukhuset]] i Uppsala.</t>
  </si>
  <si>
    <t>Q10588219</t>
  </si>
  <si>
    <t>https://sv.wikipedia.org/w/index.php?curid=2480325</t>
  </si>
  <si>
    <t>Monica Grandien-Kövamees</t>
  </si>
  <si>
    <t>docent 1977</t>
  </si>
  <si>
    <t>Q4952108</t>
  </si>
  <si>
    <t>https://sv.wikipedia.org/w/index.php?curid=1056346</t>
  </si>
  <si>
    <t>Kerstin Hall</t>
  </si>
  <si>
    <t>Hon disputerade 1972 vid [[Karolinska Institutet]] där hon från 1980 var [[professor]] och [[överläkare]] i [[endokrinologi]].</t>
  </si>
  <si>
    <t>Q6048280</t>
  </si>
  <si>
    <t>https://sv.wikipedia.org/w/index.php?curid=1036810</t>
  </si>
  <si>
    <t>Lennart Philipson</t>
  </si>
  <si>
    <t>''Carl ''Lennart'' Philipson''', född [[1929]], död [[26 juni]] [[2011]], var en svensk [[professor]] i mikrobiologi vid avdelningen för [[cellbiologi|cell-]] och [[molekylärbiologi]] vid [[Karolinska Institutet]].</t>
  </si>
  <si>
    <t>Q61942990</t>
  </si>
  <si>
    <t>https://sv.wikipedia.org/w/index.php?curid=8274858</t>
  </si>
  <si>
    <t>Bo Hellman (läkare)</t>
  </si>
  <si>
    <t>Han var [[amanuens]] och assistent på histologiska institutionen i Uppsala 1951–1959, innehade forskartjänst i experimentell [[diabetes]]forskning vid [[Statens medicinska forskningsråd]] 1963, blev [[prosektor]] i histologi vid [[Karolinska Institutet]] 1964, [[professor]] i histologi vid [[Umeå universitet]] 1966, i [[anatomi]] vid [[Uppsala universitet]] 1976 och i histologi med [[cellbiologi]] vid Uppsala universitet 1982.</t>
  </si>
  <si>
    <t>Professor at Umeå University 1966</t>
  </si>
  <si>
    <t>Q5810360</t>
  </si>
  <si>
    <t>https://sv.wikipedia.org/w/index.php?curid=1098344</t>
  </si>
  <si>
    <t>Göran Holm (läkare)</t>
  </si>
  <si>
    <t>https://sv.wikipedia.org/w/index.php?curid=1098344#:~:text=and%20professor%20and%20senior%20physician%20at%20the%20medical%20clinic%20atKarolinska%20Hospital%201986%E2%80%931995</t>
  </si>
  <si>
    <t>Q16912364</t>
  </si>
  <si>
    <t>https://sv.wikipedia.org/w/index.php?curid=3968867</t>
  </si>
  <si>
    <t>Göran Sterky</t>
  </si>
  <si>
    <t>''Göran Carl Gustaf Sterky''', född [[10 april]] [[1930]] i [[Matteus]] församling i [[Stockholm]], är en svensk läkare och [[professor]] [[emeritus]] i [[pediatrik]] vid [[Karolinska Institutet]] i [[Solna kommun|Solna]]; han är son till [[Håkan Sterky]].</t>
  </si>
  <si>
    <t>Q5948421</t>
  </si>
  <si>
    <t>https://sv.wikipedia.org/w/index.php?curid=506637</t>
  </si>
  <si>
    <t>Lennart Levi</t>
  </si>
  <si>
    <t>https://sv.wikipedia.org/w/index.php?curid=506637#:~:text=after%20which%20he%20was%20a%20professor%20at%20KI%201986%E2%80%931995</t>
  </si>
  <si>
    <t>Q6214245</t>
  </si>
  <si>
    <t>https://sv.wikipedia.org/w/index.php?curid=486096</t>
  </si>
  <si>
    <t>Thomas Tottie</t>
  </si>
  <si>
    <r>
      <rPr>
        <rFont val="Arial"/>
        <color rgb="FF202122"/>
        <sz val="11.0"/>
      </rPr>
      <t xml:space="preserve">He was </t>
    </r>
    <r>
      <rPr>
        <rFont val="Arial"/>
        <color rgb="FF202122"/>
        <sz val="11.0"/>
      </rPr>
      <t>chief librarian</t>
    </r>
    <r>
      <rPr>
        <rFont val="Arial"/>
        <color rgb="FF202122"/>
        <sz val="11.0"/>
      </rPr>
      <t xml:space="preserve"> at </t>
    </r>
    <r>
      <rPr>
        <rFont val="Arial"/>
        <color rgb="FF202122"/>
        <sz val="11.0"/>
      </rPr>
      <t>Karolinska Institutet 's library</t>
    </r>
    <r>
      <rPr>
        <rFont val="Arial"/>
        <color rgb="FF202122"/>
        <sz val="11.0"/>
      </rPr>
      <t xml:space="preserve"> 1977–1978. https://sv.wikipedia.org/w/index.php?curid=486096#:~:text=He%20was%20chief%20librarian%20at%20Karolinska%20Institutet%20%27s%20library%201977%E2%80%931978</t>
    </r>
  </si>
  <si>
    <t>Q18816568</t>
  </si>
  <si>
    <t>https://sv.wikipedia.org/w/index.php?curid=4896974</t>
  </si>
  <si>
    <t>Jan Wersäll</t>
  </si>
  <si>
    <t>Wersäll disputerade 1956 och blev 1973 [[professor]] i [[öron-, näs- och halssjukdomar]] vid [[Karolinska institutet]].</t>
  </si>
  <si>
    <t>Q5627426</t>
  </si>
  <si>
    <t>https://sv.wikipedia.org/w/index.php?curid=1093666</t>
  </si>
  <si>
    <t>Jan-Erik Edström</t>
  </si>
  <si>
    <t>Han blev professor i [[histologi]] vid Umeå universitet 1964 och var senare professor i [[molekylärgenetik]] vid Wallenberglaboratoriet i Lund och vid [[Karolinska institutet]].</t>
  </si>
  <si>
    <t>https://www.ncbi.nlm.nih.gov/pmc/articles/PMC4256786/#:~:text=later%20joined%20the%20faculty%20of%20the%20Karolinska%20Institutet%20in%20Stockholm%20as%20a%20full%20professor%20of%20histology%20in%201965.%20In%201979%2C%20he%20moved%20to%20Heidelberg</t>
  </si>
  <si>
    <t>Q16633547</t>
  </si>
  <si>
    <t>https://sv.wikipedia.org/w/index.php?curid=3920654</t>
  </si>
  <si>
    <t>Lennart Wetterberg</t>
  </si>
  <si>
    <t>Lennart Wetterberg utnämndes 1973 till [[professor]] i psykiatri vid [[Karolinska institutet]] och var överläkare vid [[Sankt Görans sjukhus]] 1973–1996.</t>
  </si>
  <si>
    <t>https://sv.wikipedia.org/w/index.php?curid=3920654#:~:text=After%20his%20retirement%2C%20Lennart%20Wetterberg%20was%20a%20professor%20of%20psychiatry%20in%20Norway%2C%20at%20Troms%C3%B6%20University%201998%2D2001</t>
  </si>
  <si>
    <t>Q4794620</t>
  </si>
  <si>
    <t>https://sv.wikipedia.org/w/index.php?curid=621158</t>
  </si>
  <si>
    <t>Arne Ljungqvist</t>
  </si>
  <si>
    <t>Q6205935</t>
  </si>
  <si>
    <t>https://sv.wikipedia.org/w/index.php?curid=1142760</t>
  </si>
  <si>
    <t>Björn Tengroth</t>
  </si>
  <si>
    <t>https://prabook.com/web/bjorn_mortimer.tengroth/148945#:~:text=Assistant%20professor%20University%20G%C3%B6teborg%2C%201961%2D1967%2C%20associate%20professor%2C%201967%2D1974%2C%20acting%20full%20professor%20ophthalmology%2C%201969%2D1974.%20Professor%2C%20chairman%20department%20opthalomology%20Karol%20Institute%2C%20Stockholm%2C%201974%2D1997.%20President%20International%20Society%20Ergophalmology%201978%2D1990.</t>
  </si>
  <si>
    <t>Q6079054</t>
  </si>
  <si>
    <t>https://sv.wikipedia.org/w/index.php?curid=581325</t>
  </si>
  <si>
    <t>Sune Rosell</t>
  </si>
  <si>
    <t>Q16633559</t>
  </si>
  <si>
    <t>https://sv.wikipedia.org/w/index.php?curid=2791610</t>
  </si>
  <si>
    <t>Claes Wirsén</t>
  </si>
  <si>
    <r>
      <rPr>
        <color rgb="FF000000"/>
        <sz val="11.0"/>
      </rPr>
      <t xml:space="preserve">docent in 1965 </t>
    </r>
    <r>
      <rPr>
        <color rgb="FF1155CC"/>
        <sz val="11.0"/>
        <u/>
      </rPr>
      <t>https://sv.wikipedia.org/w/index.php?curid=2791610#:~:text=1965%20and%20a%20docent%20in%20histology%20at%20the%20Karolinska%20Institute%20in%20the%20same%20year</t>
    </r>
  </si>
  <si>
    <t>Q16649488</t>
  </si>
  <si>
    <t>https://sv.wikipedia.org/w/index.php?curid=3920573</t>
  </si>
  <si>
    <t>Bengt Jansson (läkare)</t>
  </si>
  <si>
    <t>Han blev överläkare vid psykiatriska kliniken på [[Huddinge sjukhus]] 1974, [[professor]] i psykiatri vid [[Karolinska institutet]] 1976 och gick i pension 1997.</t>
  </si>
  <si>
    <t>Ringertz var från 1978 professor i medicinsk cellgenetik vid [[Karolinska institutet]].</t>
  </si>
  <si>
    <t>Q5749509</t>
  </si>
  <si>
    <t>https://sv.wikipedia.org/w/index.php?curid=1657789</t>
  </si>
  <si>
    <t>Gösta Gahrton</t>
  </si>
  <si>
    <t>Han var underläkare och docent på [[Karolinska sjukhuset]] 1967–1973, klinisk lärare vid Karolinska institutet och biträdande överläkare på [[Huddinge sjukhus]] 1973–1975, [[professor]] i medicin vid Karolinska institutet och chef för medicinska kliniken på Huddinge sjukhus från 1985-1997.</t>
  </si>
  <si>
    <t>Q5773062</t>
  </si>
  <si>
    <t>https://sv.wikipedia.org/w/index.php?curid=1117353</t>
  </si>
  <si>
    <t>Carl-Gustav Groth</t>
  </si>
  <si>
    <t>Han påbörjade medicinstudier vid [[Karolinska Institutet]] där han 1961 tog [[läkarexamen]], och började därefter arbeta vid den kirurgiska kliniken vid [[Serafimerlasarettet]], där [[Curt Franksson]] var professor och chef.</t>
  </si>
  <si>
    <t>Q6061789</t>
  </si>
  <si>
    <t>https://sv.wikipedia.org/w/index.php?curid=178629</t>
  </si>
  <si>
    <t>Jovan Rajs</t>
  </si>
  <si>
    <t>1999?</t>
  </si>
  <si>
    <t>Han är [[professor]] [[emeritus]] i [[rättsmedicin]] vid [[Karolinska Institutet]].</t>
  </si>
  <si>
    <t>Q59358822</t>
  </si>
  <si>
    <t>https://sv.wikipedia.org/w/index.php?curid=8253042</t>
  </si>
  <si>
    <t>Kerstin Hagenfeldt</t>
  </si>
  <si>
    <t>Q5591173</t>
  </si>
  <si>
    <t>https://sv.wikipedia.org/w/index.php?curid=1628583</t>
  </si>
  <si>
    <t>Marc Bygdeman</t>
  </si>
  <si>
    <t>Han var [[amanuens]] och assistent på fysiologiska institutionen vid Karolinska institutet 1955–64, underläkare på [[Allmänna barnbördshuset]] i Stockholm i perioder 1958–63, underläkare på kvinnokliniken på Karolinska sjukhuset 1965, biträdande överläkare där 1973, överläkare från 1978, och biträdande klinikchef från 1975, [[professor]] i obstetrik och gynekologi särskilt klinisk fortplantningslära vid Karolinska institutet från 1978, klinikchef på kvinnokliniken vid Karolinska sjukhuset från 1985.</t>
  </si>
  <si>
    <t>https://prabook.com/web/marc_allan.bygdeman/152295</t>
  </si>
  <si>
    <t>Q18237970</t>
  </si>
  <si>
    <t>https://sv.wikipedia.org/w/index.php?curid=4659560</t>
  </si>
  <si>
    <t>Stellan Bygdeman</t>
  </si>
  <si>
    <t>docent 1964</t>
  </si>
  <si>
    <t>Q16594485</t>
  </si>
  <si>
    <t>https://sv.wikipedia.org/w/index.php?curid=3920057</t>
  </si>
  <si>
    <t>Marianne Cederblad</t>
  </si>
  <si>
    <t>Hon var universitetslektor vid Karolinska institutet 1974–77, professor i barn- och ungdomspsykiatri vid barn- och ungdomspsykiatriska kliniken, [[Sankt Lars sjukhus]] i [[Lund]] från 1984.</t>
  </si>
  <si>
    <t>Q295768</t>
  </si>
  <si>
    <t>https://sv.wikipedia.org/w/index.php?curid=110802</t>
  </si>
  <si>
    <t>Bengt Samuelsson</t>
  </si>
  <si>
    <t>:{{För|personer med samma namn|Bengt Samuelsson (olika betydelser)}}
 {{Faktamall biografi WD}}
 '''Bengt Samuelsson''', född [[21 maj]] [[1934]] i [[Halmstad]], är en svensk forskare i [[medicinsk kemi]], [[professor]] [[emeritus]] i medicinsk och fysiologisk kemi vid [[Karolinska Institutet]].</t>
  </si>
  <si>
    <t>Q59430986</t>
  </si>
  <si>
    <t>https://sv.wikipedia.org/w/index.php?curid=8253575</t>
  </si>
  <si>
    <t>Lars Hagenfeldt</t>
  </si>
  <si>
    <t>Hagenfeldt, som var son till direktör Gustav Hagenfeldt och Rut Fredriksson, avlade [[studentexamen]] vid [[Lundsbergs skola]] 1953, blev [[medicine kandidat]] vid [[Karolinska Institutet]] i [[Stockholm]] 1955, [[medicine licentiat]] där 1961, [[medicine doktor]] där 1968 på avhandlingen ''Muscle metabolism of individual free fatty acids and ketone bodies'', [[docent]] i [[klinisk kemi]] där 1969 och [[professor]] i nämnda ämne där 1990.</t>
  </si>
  <si>
    <t>Q5958259</t>
  </si>
  <si>
    <t>https://sv.wikipedia.org/w/index.php?curid=1091036</t>
  </si>
  <si>
    <t>Jan Lindsten</t>
  </si>
  <si>
    <t>Lindsten disputerade 1963 vid [[Karolinska Institutet]] och blev senare professor i [[medicinsk genetik]] och överläkare vid kliniskt genetiska laboratoriet vid Karolinska institutet.</t>
  </si>
  <si>
    <t>https://genmedhist.eshg.org/fileadmin/content/website-layout/interviewees-attachments/Lindsten,%20Jan.pdf</t>
  </si>
  <si>
    <t>Q5950177</t>
  </si>
  <si>
    <t>https://sv.wikipedia.org/w/index.php?curid=72478</t>
  </si>
  <si>
    <t>Lars Lidberg</t>
  </si>
  <si>
    <t>Han var underläkare vid olika medicinska och [[kirurgi]]ska kliniker 1958–1964, bataljonsläkare vid [[FN]] i [[Gazaremsan]] 1963, på [[Cypern]] 1966, forskningsläkare på laboratoriet för klinisk stressforskning 1968–1972, innehade olika psykiatriska läkarförordnanden 1973–1974, var biträdande överläkare vid psykiatriska kliniken på [[Karolinska sjukhuset]] 1975–1977 samt [[professor]] i psykiatri, särskilt social- och rättspsykiatri, vid [[Karolinska institutet]] från 1977.</t>
  </si>
  <si>
    <t>https://elpais.com/diario/2005/10/11/agenda/1128981607_850215.html#:~:text=Ejerci%C3%B3%20el%20profesorado%20en%20el%20Karolinska%20Institutet%20durante%20un%20cuarto%20de%20siglo%2C%20desde%201975%20hasta%202000</t>
  </si>
  <si>
    <t>Q23915300</t>
  </si>
  <si>
    <t>https://sv.wikipedia.org/w/index.php?curid=5062675</t>
  </si>
  <si>
    <t>Birgitta Kolmodin-Hedman</t>
  </si>
  <si>
    <t>Hon tjänstgjorde vid [[yrkesmedicin]]ska kliniken i [[Stockholm]] 1967–1979, i [[Uppsala]] 1979–1981, var [[professor]] vid [[Arbetarskyddsstyrelsen]] i [[Umeå]], sedermera [[Arbetslivsinstitutet]], 1982–1990 samt professor i yrkesmedicin vid [[Karolinska institutet]] och [[överläkare]] vid [[Huddinge sjukhus]] från 1990.</t>
  </si>
  <si>
    <t>Q59358640</t>
  </si>
  <si>
    <t>https://sv.wikipedia.org/w/index.php?curid=8253059</t>
  </si>
  <si>
    <t>Göran Sedvall (läkare)</t>
  </si>
  <si>
    <t>Sedvall, som var son till folkskollärare Gösta Sedvall och Térése Sedvall, avlade [[studentexamen]] i Stockholm 1955, blev [[medicine kandidat]] vid [[Karolinska Institutet]] 1957 samt [[medicine licentiat]], [[medicine doktor]] på avhandlingen ''Studier över skelettmuskulaturens vasokonstriktornerver'' och [[docent]] i [[farmakologi]] där 1965, docent i [[psykiatri]] där 1970, [[biträdande professor]] i [[neuropsykofarmakologi]] där 1971, i experimentell psykiatri där 1975 och [[professor]] i psykiatri där 1980.</t>
  </si>
  <si>
    <t>Q4936328</t>
  </si>
  <si>
    <t>https://sv.wikipedia.org/w/index.php?curid=1024915</t>
  </si>
  <si>
    <t>Anita Aperia-Broberger</t>
  </si>
  <si>
    <t>Hon arbetade 1967–1972 som underläkare vid [[Sankt Görans sjukhus|Sankt Görans barnklinik]], var 1972–1979 [[docent]] vid [[Medicinska forskningsrådet]], 1979–1982 klinisk lärare i pediatrik och utnämndes 1982 till [[professor]] i pediatrik vid Karolinska institutet.</t>
  </si>
  <si>
    <t>Q6072322</t>
  </si>
  <si>
    <t>https://sv.wikipedia.org/w/index.php?curid=1054480</t>
  </si>
  <si>
    <t>Rudolf Rigler</t>
  </si>
  <si>
    <t>I början av 1980-talet blev han [[professor]] i molekylär biofysik vid [[Lunds universitet]], men återvände senare till Karolinska Institutet som professor i [[medicinsk fysik]], där han fortsatte utvecklingen inom FCS.</t>
  </si>
  <si>
    <t>Q4958869</t>
  </si>
  <si>
    <t>https://sv.wikipedia.org/w/index.php?curid=461464</t>
  </si>
  <si>
    <t>Anne-Charlotte Kinn</t>
  </si>
  <si>
    <t>Q6017341</t>
  </si>
  <si>
    <t>https://sv.wikipedia.org/w/index.php?curid=985649</t>
  </si>
  <si>
    <t>Erling Norrby</t>
  </si>
  <si>
    <t>''Erling Norrby''', född [[1937]], är en svensk [[läkare]] och [[virolog]] som varit [[professor]] vid [[Karolinska Institutet]] (KI) och tidigare var ständig sekreterare för [[Kungliga Vetenskapsakademin]].</t>
  </si>
  <si>
    <t>Q5627647</t>
  </si>
  <si>
    <t>https://sv.wikipedia.org/w/index.php?curid=1102640</t>
  </si>
  <si>
    <t>Suad Efendić</t>
  </si>
  <si>
    <t>Han disputerade 1970 vid [[Karolinska Institutet]], blev 1972 [[docent]] i [[endokrinologi]], fick 1974 svensk läkarlegitimation, var 1985-1995 [[professor]] i [[diabetes]]forskning och från 1995 professor i [[endokrinologi]] vid Karolinska Institutet.</t>
  </si>
  <si>
    <t>Q6029586</t>
  </si>
  <si>
    <t>https://sv.wikipedia.org/w/index.php?curid=1053420</t>
  </si>
  <si>
    <t>Sten Orrenius</t>
  </si>
  <si>
    <t>Han var 1971–1984 professor i [[rättsmedicin]] och var 1984–2003 [[professor]] i [[toxikologi]] vid [[Karolinska Institutet]].</t>
  </si>
  <si>
    <t>Q46928367</t>
  </si>
  <si>
    <t>https://sv.wikipedia.org/w/index.php?curid=8111190</t>
  </si>
  <si>
    <t>Patricia Klein Frithiof</t>
  </si>
  <si>
    <t>Q55314687</t>
  </si>
  <si>
    <t>https://sv.wikipedia.org/w/index.php?curid=8181393</t>
  </si>
  <si>
    <t>Ewert Linder</t>
  </si>
  <si>
    <t>Han var chef för parasitologiska avdelningen vid Statens bakteriologiska laboratorium (senare [[Smittskyddsinstitutet]]) i [[Stockholm]] 1982–2003 och adjungerad [[professor]] vid [[Karolinska Institutet]] där 1995–2003.</t>
  </si>
  <si>
    <t>Q23917180</t>
  </si>
  <si>
    <t>https://sv.wikipedia.org/w/index.php?curid=6232166</t>
  </si>
  <si>
    <t>Birgitta Strandvik</t>
  </si>
  <si>
    <t>Hon har senare varit verksam som [[professor]] i pediatrik vid [[Sahlgrenska akademin]] och vid [[Karolinska Institutet]].</t>
  </si>
  <si>
    <t>Q5573425</t>
  </si>
  <si>
    <t>https://sv.wikipedia.org/w/index.php?curid=1381814</t>
  </si>
  <si>
    <t>Jan Bergström (tandläkare)</t>
  </si>
  <si>
    <t>Han var 2000-2005 professor i [[parodontologi]] vid [[Karolinska Institutet]].</t>
  </si>
  <si>
    <t>Q5747854</t>
  </si>
  <si>
    <t>https://sv.wikipedia.org/w/index.php?curid=1092066</t>
  </si>
  <si>
    <t>Kjell Fuxe</t>
  </si>
  <si>
    <t>Han disputerade [[1965]] vid [[Karolinska institutet]] där han senare blev [[professor]] i [[histologi]].</t>
  </si>
  <si>
    <t>Q4991074</t>
  </si>
  <si>
    <t>https://sv.wikipedia.org/w/index.php?curid=1155698</t>
  </si>
  <si>
    <t>Marie Åsberg</t>
  </si>
  <si>
    <t>''Marie Åsberg''', född Strimme, 7 januari 1938, är en svensk [[psykiatriker]] och sedan 2004 [[professor emerita]], verksam vid [[Karolinska institutet]], Institutionen för kliniska vetenskaper.</t>
  </si>
  <si>
    <t>Q71858024</t>
  </si>
  <si>
    <t>https://sv.wikipedia.org/w/index.php?curid=8372439</t>
  </si>
  <si>
    <t>Åsa Kilbom</t>
  </si>
  <si>
    <t>Q5586745</t>
  </si>
  <si>
    <t>https://sv.wikipedia.org/w/index.php?curid=829468</t>
  </si>
  <si>
    <t>Sven Britton</t>
  </si>
  <si>
    <t>com] --&gt;
 }}
 '''Sven Fredrik Fritiof Britton''', född [[14 juni]] [[1938]] i [[Stockholm]], är en svensk [[läkare]] som arbetat som [[professor]] i [[infektion]]ssjukdomar vid [[Karolinska Institutet]] 1986–2006.</t>
  </si>
  <si>
    <t>Q46992182</t>
  </si>
  <si>
    <t>https://sv.wikipedia.org/w/index.php?curid=8111218</t>
  </si>
  <si>
    <t>Eva Rylander</t>
  </si>
  <si>
    <t>Rylander blev legitimerad läkare 1966, [[medicine doktor]] i [[Stockholm]] 1972 på avhandlingen ''Studies on metabolic effects of short exposure to cold in human infants'', [[docent]] i [[obstetrik]] och [[gynekologi]] 1977, var klinisk amanuens 1974–1975, klinisk lärare på [[kvinnoklinik]]en i [[Umeå]] 1977–1988 och sedermera [[professor]] i obstetrik och gynekologi vid [[Karolinska institutet]] och [[överläkare]] vid [[Danderyds sjukhus]].</t>
  </si>
  <si>
    <t>Q6240885</t>
  </si>
  <si>
    <t>https://sv.wikipedia.org/w/index.php?curid=985660</t>
  </si>
  <si>
    <t>Hans Wigzell</t>
  </si>
  <si>
    <t>{{Faktamall biografi
 | namn  = Hans Wigzell
 | bild  = 
 | bildstorlek = 
 | bildtext  = 
 | födelsedatum = {{Ålder|1938|10|28}}
 | födelseort  = Stockholm, Sverige
 | dödsdatum = 
 | dödsort = 
 | utbildning  = [[Karolinska institutet]]
 | yrke  = Rektor vid Karolinska Institutet&lt;br /&gt;[[Immunolog]]&lt;br /&gt;[[Läkare]]
 | maka  = [[Kerstin Wigzell]]
 | barn  = [[Olivia Wigzell]]
 | föräldrar = 
 | webbplats = 
 }}
 '''Hans Lennart Rudolf Wigzell''', född [[28 oktober]] [[1938]] i [[Stockholm]], är en svensk [[läkare]] och [[professor emeritus]] i [[immunologi]] och därefter rektor för [[Karolinska Institutet]] (KI).</t>
  </si>
  <si>
    <t>Q69872612</t>
  </si>
  <si>
    <t>https://sv.wikipedia.org/w/index.php?curid=8365677</t>
  </si>
  <si>
    <t>Lennart Fagraeus</t>
  </si>
  <si>
    <t>Han rekryterades sedermera av professor [[Carl Magnus Hesser]] vid Navalmedicinska avdelningen på Karolinska institutet för att studera den fysiska arbetsförmågan hos dykare, och disputerade 1974 på en avhandling om hur syre-heliumblandningar kan hjälpa dykare att öka prestationen på djupt vatten.</t>
  </si>
  <si>
    <t>Q5953343</t>
  </si>
  <si>
    <t>https://sv.wikipedia.org/w/index.php?curid=1099976</t>
  </si>
  <si>
    <t>Alf A. Lindberg</t>
  </si>
  <si>
    <t>Han disputerade 1971 vid [[Karolinska Institutet]] och var [[professor]] i klinisk bakteriologi vid [[Huddinge sjukhus]] och verksam vid [[Nobelstiftelsen]].</t>
  </si>
  <si>
    <t>Q42393385</t>
  </si>
  <si>
    <t>https://sv.wikipedia.org/w/index.php?curid=8059047</t>
  </si>
  <si>
    <t>Ulf Balldin</t>
  </si>
  <si>
    <t>Han var 1982–1991 [[adjungerad professor]] vid [[Karolinska institutet]].</t>
  </si>
  <si>
    <t>Q24303833</t>
  </si>
  <si>
    <t>https://sv.wikipedia.org/w/index.php?curid=6663706</t>
  </si>
  <si>
    <t>Lars Hamberger</t>
  </si>
  <si>
    <t>Hamberger blev [[medicine licentiat]] 1967, [[medicine doktor]] och [[docent]] i [[fysiologi]] 1968, docent i [[obstetrik]] och [[gynekologi]] vid [[Göteborgs universitet]] 1974, [[professor]] i obstetrik och gynekologi vid [[Karolinska institutet]] 1983, var klinikchef vid [[kvinnoklinik]]en på [[Karolinska sjukhuset]] 1984–1985 och på [[Sahlgrenska sjukhuset]] från 1986.</t>
  </si>
  <si>
    <t>Q5954051</t>
  </si>
  <si>
    <t>https://sv.wikipedia.org/w/index.php?curid=1018940</t>
  </si>
  <si>
    <t>Uno Lindberg (professor)</t>
  </si>
  <si>
    <t>Q16157128</t>
  </si>
  <si>
    <t>https://sv.wikipedia.org/w/index.php?curid=3901193</t>
  </si>
  <si>
    <t>Gunvor Ahlborg</t>
  </si>
  <si>
    <t>''Gunvor Ahlborg''', född 22 juli 1939 i [[Motala]], är professor emerita vid [[Karolinska institutet]], tidigare docent och läkare.</t>
  </si>
  <si>
    <t>Q70597761</t>
  </si>
  <si>
    <t>https://sv.wikipedia.org/w/index.php?curid=8368836</t>
  </si>
  <si>
    <t>Anders Gustafsson (parodontolog)</t>
  </si>
  <si>
    <t>-- {{Död datum och ålder|1993|02|24|1941|04|12}} (dödsdatum, sedan födelsedatum) --&gt;
 | dödsort  = 
 | nationalitet = Svensk
 | andra_namn = 
 | influencer_namn = 
 | känd_för = Professor och prorektor på [[Karolinska institutet]]
 | yrke = Tandläkare, [[Parodontologi|parodontolog]]
 }}
 '''Anders Gustafsson''', född 1956, är en svensk [[Parodontologi|parodontolog]].</t>
  </si>
  <si>
    <t>Q111986589</t>
  </si>
  <si>
    <t>https://sv.wikipedia.org/w/index.php?curid=8657079</t>
  </si>
  <si>
    <t>Bertil Melén</t>
  </si>
  <si>
    <t>Q106402608</t>
  </si>
  <si>
    <t>https://sv.wikipedia.org/w/index.php?curid=8549834</t>
  </si>
  <si>
    <t>Birger Broman</t>
  </si>
  <si>
    <t>Han blev [[docent]] i [[pediatrik]] vid Karolinska institutet 1945, [[laborator]] vid [[Statens rättskemiska laboratorium]]s avdelning för klinisk [[blodgrupp]]s[[serologi]] 1947, var föreståndare och [[professor (Sverige)|professor]] där 1957–1972 och [[konsult]] 1973–1977 samt konsult vid [[Karolinska sjukhuset]]s [[blodcentral]] från 1977.</t>
  </si>
  <si>
    <t>Q113383523</t>
  </si>
  <si>
    <t>https://sv.wikipedia.org/w/index.php?curid=8677383</t>
  </si>
  <si>
    <t>Björn Meyerson</t>
  </si>
  <si>
    <t>Meyerson, som var son till överintendent [[Åke Meyerson]] och Anna Lisa Ström, blev [[filosofie kandidat]] vid [[Stockholms universitet|Stockholms högskola]] 1954, [[medicine licentiat]] vid [[Karolinska Institutet]] 1963, [[medicine doktor]] och [[docent]] i [[fysiologi]] 1968, docent i [[neurokirurgi]] 1979 samt var [[professor]] i [[klinisk smärtforskning]] och [[överläkare]] vid neurokirurgiska kliniken på [[Karolinska sjukhuset]] från 1979.</t>
  </si>
  <si>
    <t>Q112860540</t>
  </si>
  <si>
    <t>https://sv.wikipedia.org/w/index.php?curid=8669912</t>
  </si>
  <si>
    <t>Constant Brück</t>
  </si>
  <si>
    <t>Q108553795</t>
  </si>
  <si>
    <t>https://sv.wikipedia.org/w/index.php?curid=8594777</t>
  </si>
  <si>
    <t>Ernst Wikner</t>
  </si>
  <si>
    <t>Q62560466</t>
  </si>
  <si>
    <t>https://sv.wikipedia.org/w/index.php?curid=8437129</t>
  </si>
  <si>
    <t>Folke Sjöqvist</t>
  </si>
  <si>
    <t>''Fritz Gustav ''Folke'' Sjöqvist''', född [[28 maj]] [[1933]] i [[Västervik]], död [[30 mars]] [[2020]] i [[Stockholms Hedvig Eleonora distrikt|Hedvig Eleonora distrikt]] i [[Stockholm]], var en svensk [[professor]] i klinisk [[farmakologi]] vid [[Karolinska institutet]].</t>
  </si>
  <si>
    <t>Q112258109</t>
  </si>
  <si>
    <t>https://sv.wikipedia.org/w/index.php?curid=8664099</t>
  </si>
  <si>
    <t>Gösta Tunevall</t>
  </si>
  <si>
    <t>Han var [[biträdande professor]] vid [[Karolinska institutet]] 1973–1978 och [[professor (Sverige)|professor]] där 1979–1983.</t>
  </si>
  <si>
    <t>Q111975888</t>
  </si>
  <si>
    <t>https://sv.wikipedia.org/w/index.php?curid=8656814</t>
  </si>
  <si>
    <t>Gunnar Ågren (professor)</t>
  </si>
  <si>
    <t>Q97053377</t>
  </si>
  <si>
    <t>https://sv.wikipedia.org/w/index.php?curid=8464527</t>
  </si>
  <si>
    <t>Gunnar Bylin</t>
  </si>
  <si>
    <t>Q5897160</t>
  </si>
  <si>
    <t>https://sv.wikipedia.org/w/index.php?curid=1707508</t>
  </si>
  <si>
    <t>Gunnar Kahlmeter</t>
  </si>
  <si>
    <t>Kahlmeter blev [[docent]] vid Karolinska institutet 1927 och tilldelades [[professors namn]] 1946.</t>
  </si>
  <si>
    <t>Q112756541</t>
  </si>
  <si>
    <t>https://sv.wikipedia.org/w/index.php?curid=8668912</t>
  </si>
  <si>
    <t>Gustaf Brun</t>
  </si>
  <si>
    <t>Q112976508</t>
  </si>
  <si>
    <t>https://sv.wikipedia.org/w/index.php?curid=8671667</t>
  </si>
  <si>
    <t>Harald Eliasch</t>
  </si>
  <si>
    <t>Q18237125</t>
  </si>
  <si>
    <t>https://sv.wikipedia.org/w/index.php?curid=4009289</t>
  </si>
  <si>
    <t>Hugo Ahlbom</t>
  </si>
  <si>
    <t>Ahlbom blev 1950 [[Professor (Sverige)|professor]] i radioterapi vid Karolinska Institutet och överläkare vid Radiumhemmet.</t>
  </si>
  <si>
    <t>Q20156176</t>
  </si>
  <si>
    <t>https://sv.wikipedia.org/w/index.php?curid=4976587</t>
  </si>
  <si>
    <t>Karl Gustaf Ploman</t>
  </si>
  <si>
    <t>Santesson blev [[laborator]] i [[radiopatologi]] vid [[Karolinska institutet]] 1942 och var [[professor (Sverige)|professor]] där 1954–1968.</t>
  </si>
  <si>
    <t>Q107622701</t>
  </si>
  <si>
    <t>https://sv.wikipedia.org/w/index.php?curid=8580830</t>
  </si>
  <si>
    <t>Lovisa Strömmer</t>
  </si>
  <si>
    <t>Q90578233</t>
  </si>
  <si>
    <t>https://sv.wikipedia.org/w/index.php?curid=8453697</t>
  </si>
  <si>
    <t>Matti Sällberg</t>
  </si>
  <si>
    <t>''Matti Sällberg''', född [[31 mars]] [[1961]], är en svensk tandläkare , professor och [[biomedicinsk analytiker]] vid institutionen för laboratoriemedicin på [[Karolinska Institutet|Karolinska institutet]].</t>
  </si>
  <si>
    <t>Q77386069</t>
  </si>
  <si>
    <t>https://sv.wikipedia.org/w/index.php?curid=8368316</t>
  </si>
  <si>
    <t>Peter Höglund (professor)</t>
  </si>
  <si>
    <t>Q102215674</t>
  </si>
  <si>
    <t>https://sv.wikipedia.org/w/index.php?curid=8504549</t>
  </si>
  <si>
    <t>Pontus Stierna</t>
  </si>
  <si>
    <t>''Lars Eric ''Pontus'' Stierna''', född [[28 juni]] [[1951]], död [[6 november]] [[2020]], var en svensk [[läkare]] och professor vid [[Karolinska institutet]].</t>
  </si>
  <si>
    <t>Q96333304</t>
  </si>
  <si>
    <t>https://sv.wikipedia.org/w/index.php?curid=8458413</t>
  </si>
  <si>
    <t>Richard Bergström (farmaceut)</t>
  </si>
  <si>
    <t>Q113030565</t>
  </si>
  <si>
    <t>https://sv.wikipedia.org/w/index.php?curid=8672662</t>
  </si>
  <si>
    <t>Rune Eliasson (läkare)</t>
  </si>
  <si>
    <t>Q108000674</t>
  </si>
  <si>
    <t>https://sv.wikipedia.org/w/index.php?curid=8585315</t>
  </si>
  <si>
    <t>Sigrid Söderlund</t>
  </si>
  <si>
    <t>Q105544440</t>
  </si>
  <si>
    <t>https://sv.wikipedia.org/w/index.php?curid=8533126</t>
  </si>
  <si>
    <t>Sven Hammarström</t>
  </si>
  <si>
    <t>Q37011751</t>
  </si>
  <si>
    <t>https://sv.wikipedia.org/w/index.php?curid=8044664</t>
  </si>
  <si>
    <t>Sven-Gösta Sjöberg</t>
  </si>
  <si>
    <t>Q111955047</t>
  </si>
  <si>
    <t>https://sv.wikipedia.org/w/index.php?curid=8656281</t>
  </si>
  <si>
    <t>Tore Wesslén</t>
  </si>
  <si>
    <t>Q107738867</t>
  </si>
  <si>
    <t>https://sv.wikipedia.org/w/index.php?curid=8583219</t>
  </si>
  <si>
    <t>Ulf Iacobæus</t>
  </si>
  <si>
    <t>Iacobæus, som var son till professor [[Hans Christian Jacobæus]] och Anna Carlquist, avlade [[studentexamen]] i Stockholm 1936, blev [[medicine kandidat]] 1940, [[medicine licentiat]] 1945 samt [[medicine doktor]] och [[docent]] i [[invärtes medicin]] vid [[Karolinska Institutet]] 1957.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</si>
</sst>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 mmmm yyyy"/>
  </numFmts>
  <fonts count="36">
    <font>
      <sz val="10.0"/>
      <color rgb="FF000000"/>
      <name val="Arial"/>
      <scheme val="minor"/>
    </font>
    <font>
      <b/>
      <sz val="11.0"/>
      <color rgb="FF202122"/>
      <name val="Arial"/>
      <scheme val="minor"/>
    </font>
    <font>
      <b/>
      <sz val="11.0"/>
      <color theme="1"/>
      <name val="Arial"/>
      <scheme val="minor"/>
    </font>
    <font>
      <sz val="11.0"/>
      <color rgb="FF202122"/>
      <name val="Arial"/>
      <scheme val="minor"/>
    </font>
    <font>
      <u/>
      <sz val="11.0"/>
      <color rgb="FF202122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202122"/>
    </font>
    <font>
      <u/>
      <sz val="11.0"/>
      <color rgb="FF202122"/>
      <name val="Arial"/>
      <scheme val="minor"/>
    </font>
    <font>
      <sz val="11.0"/>
      <color rgb="FF000000"/>
      <name val="Arial"/>
      <scheme val="minor"/>
    </font>
    <font>
      <b/>
      <u/>
      <sz val="11.0"/>
      <color rgb="FF202122"/>
    </font>
    <font>
      <b/>
      <u/>
      <sz val="11.0"/>
      <color rgb="FF202122"/>
    </font>
    <font>
      <b/>
      <u/>
      <sz val="11.0"/>
      <color rgb="FF202122"/>
    </font>
    <font>
      <b/>
      <u/>
      <sz val="11.0"/>
      <color rgb="FF0000FF"/>
    </font>
    <font>
      <u/>
      <sz val="11.0"/>
      <color rgb="FF202122"/>
      <name val="Arial"/>
      <scheme val="minor"/>
    </font>
    <font>
      <u/>
      <sz val="11.0"/>
      <color rgb="FF000000"/>
      <name val="Arial"/>
      <scheme val="minor"/>
    </font>
    <font>
      <b/>
      <sz val="11.0"/>
      <color rgb="FF000000"/>
      <name val="&quot;Helvetica Neue&quot;"/>
    </font>
    <font>
      <sz val="11.0"/>
      <color rgb="FF000000"/>
      <name val="&quot;Helvetica Neue&quot;"/>
    </font>
    <font>
      <u/>
      <sz val="11.0"/>
      <color rgb="FF000000"/>
      <name val="&quot;Helvetica Neue&quot;"/>
    </font>
    <font>
      <sz val="11.0"/>
      <color rgb="FF202122"/>
      <name val="Sans-serif"/>
    </font>
    <font>
      <sz val="11.0"/>
      <color rgb="FF202122"/>
      <name val="Arial"/>
    </font>
    <font>
      <color rgb="FF000000"/>
      <name val="Geneva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u/>
      <sz val="11.0"/>
      <color rgb="FF0000FF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u/>
      <sz val="11.0"/>
      <color rgb="FF0000FF"/>
    </font>
    <font>
      <u/>
      <sz val="11.0"/>
      <color rgb="FF0645AD"/>
      <name val="Sans-serif"/>
    </font>
    <font>
      <u/>
      <sz val="11.0"/>
      <color rgb="FF0645AD"/>
      <name val="Arial"/>
    </font>
    <font>
      <u/>
      <sz val="11.0"/>
      <color rgb="FF202122"/>
      <name val="Sans-serif"/>
    </font>
    <font>
      <u/>
      <sz val="11.0"/>
      <color rgb="FF0000FF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horizontal="left" readingOrder="0" vertical="top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top"/>
    </xf>
    <xf borderId="0" fillId="2" fontId="4" numFmtId="0" xfId="0" applyAlignment="1" applyFont="1">
      <alignment readingOrder="0" vertical="top"/>
    </xf>
    <xf borderId="0" fillId="2" fontId="3" numFmtId="164" xfId="0" applyAlignment="1" applyFont="1" applyNumberFormat="1">
      <alignment readingOrder="0" vertical="top"/>
    </xf>
    <xf borderId="0" fillId="2" fontId="3" numFmtId="0" xfId="0" applyAlignment="1" applyFont="1">
      <alignment horizontal="left" readingOrder="0" vertical="top"/>
    </xf>
    <xf borderId="0" fillId="2" fontId="3" numFmtId="0" xfId="0" applyAlignment="1" applyFont="1">
      <alignment horizontal="left"/>
    </xf>
    <xf borderId="0" fillId="2" fontId="3" numFmtId="0" xfId="0" applyFont="1"/>
    <xf borderId="0" fillId="2" fontId="5" numFmtId="0" xfId="0" applyFont="1"/>
    <xf borderId="0" fillId="3" fontId="5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5" fontId="3" numFmtId="0" xfId="0" applyAlignment="1" applyFill="1" applyFont="1">
      <alignment horizontal="left" readingOrder="0" vertical="top"/>
    </xf>
    <xf borderId="0" fillId="2" fontId="3" numFmtId="0" xfId="0" applyAlignment="1" applyFont="1">
      <alignment horizontal="left" readingOrder="0"/>
    </xf>
    <xf borderId="0" fillId="5" fontId="3" numFmtId="0" xfId="0" applyAlignment="1" applyFont="1">
      <alignment horizontal="left" readingOrder="0"/>
    </xf>
    <xf borderId="0" fillId="6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8" fontId="3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11" fontId="5" numFmtId="0" xfId="0" applyAlignment="1" applyFill="1" applyFont="1">
      <alignment readingOrder="0"/>
    </xf>
    <xf borderId="0" fillId="3" fontId="3" numFmtId="0" xfId="0" applyAlignment="1" applyFont="1">
      <alignment horizontal="left" readingOrder="0" vertical="top"/>
    </xf>
    <xf borderId="0" fillId="4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12" fontId="3" numFmtId="164" xfId="0" applyAlignment="1" applyFill="1" applyFont="1" applyNumberFormat="1">
      <alignment readingOrder="0"/>
    </xf>
    <xf borderId="0" fillId="2" fontId="3" numFmtId="164" xfId="0" applyAlignment="1" applyFont="1" applyNumberFormat="1">
      <alignment horizontal="left" vertical="top"/>
    </xf>
    <xf borderId="0" fillId="2" fontId="8" numFmtId="0" xfId="0" applyAlignment="1" applyFont="1">
      <alignment readingOrder="0" vertical="top"/>
    </xf>
    <xf borderId="0" fillId="6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2" fontId="3" numFmtId="0" xfId="0" applyAlignment="1" applyFont="1">
      <alignment horizontal="left" vertical="top"/>
    </xf>
    <xf borderId="0" fillId="2" fontId="10" numFmtId="0" xfId="0" applyAlignment="1" applyFont="1">
      <alignment horizontal="left" readingOrder="0" shrinkToFit="0" vertical="top" wrapText="0"/>
    </xf>
    <xf borderId="0" fillId="2" fontId="1" numFmtId="0" xfId="0" applyAlignment="1" applyFont="1">
      <alignment horizontal="left" readingOrder="0" shrinkToFit="0" vertical="top" wrapText="0"/>
    </xf>
    <xf borderId="0" fillId="2" fontId="1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2" fontId="13" numFmtId="0" xfId="0" applyAlignment="1" applyFont="1">
      <alignment readingOrder="0" shrinkToFit="0" wrapText="0"/>
    </xf>
    <xf borderId="0" fillId="2" fontId="14" numFmtId="0" xfId="0" applyAlignment="1" applyFont="1">
      <alignment readingOrder="0" vertical="top"/>
    </xf>
    <xf borderId="0" fillId="0" fontId="5" numFmtId="0" xfId="0" applyFont="1"/>
    <xf borderId="0" fillId="2" fontId="9" numFmtId="0" xfId="0" applyAlignment="1" applyFont="1">
      <alignment readingOrder="0" vertical="top"/>
    </xf>
    <xf borderId="0" fillId="2" fontId="15" numFmtId="0" xfId="0" applyAlignment="1" applyFont="1">
      <alignment readingOrder="0" vertical="top"/>
    </xf>
    <xf borderId="0" fillId="2" fontId="9" numFmtId="164" xfId="0" applyAlignment="1" applyFont="1" applyNumberFormat="1">
      <alignment readingOrder="0" vertical="top"/>
    </xf>
    <xf borderId="0" fillId="2" fontId="9" numFmtId="0" xfId="0" applyAlignment="1" applyFont="1">
      <alignment horizontal="left" readingOrder="0" vertical="top"/>
    </xf>
    <xf borderId="0" fillId="2" fontId="5" numFmtId="0" xfId="0" applyAlignment="1" applyFont="1">
      <alignment horizontal="left"/>
    </xf>
    <xf borderId="0" fillId="2" fontId="5" numFmtId="0" xfId="0" applyAlignment="1" applyFont="1">
      <alignment vertical="top"/>
    </xf>
    <xf borderId="0" fillId="2" fontId="9" numFmtId="164" xfId="0" applyAlignment="1" applyFont="1" applyNumberFormat="1">
      <alignment horizontal="left" readingOrder="0" vertical="top"/>
    </xf>
    <xf borderId="0" fillId="2" fontId="16" numFmtId="0" xfId="0" applyAlignment="1" applyFont="1">
      <alignment readingOrder="0" vertical="top"/>
    </xf>
    <xf borderId="0" fillId="2" fontId="16" numFmtId="0" xfId="0" applyAlignment="1" applyFon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2" fontId="2" numFmtId="0" xfId="0" applyFont="1"/>
    <xf borderId="0" fillId="7" fontId="17" numFmtId="0" xfId="0" applyAlignment="1" applyFont="1">
      <alignment readingOrder="0" vertical="top"/>
    </xf>
    <xf borderId="0" fillId="7" fontId="18" numFmtId="0" xfId="0" applyAlignment="1" applyFont="1">
      <alignment readingOrder="0" vertical="top"/>
    </xf>
    <xf borderId="0" fillId="7" fontId="17" numFmtId="164" xfId="0" applyAlignment="1" applyFont="1" applyNumberFormat="1">
      <alignment readingOrder="0" vertical="top"/>
    </xf>
    <xf borderId="0" fillId="7" fontId="5" numFmtId="0" xfId="0" applyAlignment="1" applyFont="1">
      <alignment horizontal="left" readingOrder="0" vertical="top"/>
    </xf>
    <xf borderId="0" fillId="7" fontId="5" numFmtId="164" xfId="0" applyAlignment="1" applyFont="1" applyNumberFormat="1">
      <alignment vertical="top"/>
    </xf>
    <xf borderId="0" fillId="7" fontId="5" numFmtId="0" xfId="0" applyAlignment="1" applyFont="1">
      <alignment vertical="top"/>
    </xf>
    <xf borderId="0" fillId="7" fontId="5" numFmtId="0" xfId="0" applyFont="1"/>
    <xf borderId="0" fillId="7" fontId="17" numFmtId="0" xfId="0" applyAlignment="1" applyFont="1">
      <alignment horizontal="left" readingOrder="0" vertical="top"/>
    </xf>
    <xf borderId="0" fillId="7" fontId="19" numFmtId="0" xfId="0" applyAlignment="1" applyFont="1">
      <alignment horizontal="left" readingOrder="0"/>
    </xf>
    <xf borderId="0" fillId="7" fontId="5" numFmtId="0" xfId="0" applyAlignment="1" applyFont="1">
      <alignment readingOrder="0" vertical="top"/>
    </xf>
    <xf borderId="0" fillId="7" fontId="20" numFmtId="0" xfId="0" applyAlignment="1" applyFont="1">
      <alignment horizontal="left" readingOrder="0"/>
    </xf>
    <xf borderId="0" fillId="7" fontId="20" numFmtId="0" xfId="0" applyAlignment="1" applyFont="1">
      <alignment readingOrder="0"/>
    </xf>
    <xf borderId="0" fillId="7" fontId="19" numFmtId="0" xfId="0" applyAlignment="1" applyFont="1">
      <alignment readingOrder="0"/>
    </xf>
    <xf borderId="0" fillId="7" fontId="21" numFmtId="0" xfId="0" applyAlignment="1" applyFont="1">
      <alignment horizontal="left" readingOrder="0"/>
    </xf>
    <xf borderId="0" fillId="5" fontId="17" numFmtId="0" xfId="0" applyAlignment="1" applyFont="1">
      <alignment readingOrder="0" vertical="top"/>
    </xf>
    <xf borderId="0" fillId="5" fontId="22" numFmtId="0" xfId="0" applyAlignment="1" applyFont="1">
      <alignment readingOrder="0" vertical="top"/>
    </xf>
    <xf borderId="0" fillId="5" fontId="17" numFmtId="164" xfId="0" applyAlignment="1" applyFont="1" applyNumberFormat="1">
      <alignment readingOrder="0" vertical="top"/>
    </xf>
    <xf borderId="0" fillId="5" fontId="17" numFmtId="0" xfId="0" applyAlignment="1" applyFont="1">
      <alignment horizontal="left" readingOrder="0" vertical="top"/>
    </xf>
    <xf borderId="0" fillId="5" fontId="5" numFmtId="0" xfId="0" applyFont="1"/>
    <xf borderId="0" fillId="5" fontId="19" numFmtId="0" xfId="0" applyAlignment="1" applyFont="1">
      <alignment readingOrder="0"/>
    </xf>
    <xf borderId="0" fillId="5" fontId="5" numFmtId="0" xfId="0" applyAlignment="1" applyFont="1">
      <alignment vertical="top"/>
    </xf>
    <xf borderId="0" fillId="5" fontId="5" numFmtId="0" xfId="0" applyAlignment="1" applyFont="1">
      <alignment horizontal="left" readingOrder="0" vertical="top"/>
    </xf>
    <xf borderId="0" fillId="5" fontId="5" numFmtId="164" xfId="0" applyAlignment="1" applyFont="1" applyNumberFormat="1">
      <alignment vertical="top"/>
    </xf>
    <xf borderId="0" fillId="5" fontId="5" numFmtId="164" xfId="0" applyAlignment="1" applyFont="1" applyNumberFormat="1">
      <alignment horizontal="left" vertical="top"/>
    </xf>
    <xf borderId="0" fillId="5" fontId="5" numFmtId="0" xfId="0" applyAlignment="1" applyFont="1">
      <alignment readingOrder="0" vertical="top"/>
    </xf>
    <xf borderId="0" fillId="5" fontId="17" numFmtId="164" xfId="0" applyAlignment="1" applyFont="1" applyNumberFormat="1">
      <alignment horizontal="left" vertical="top"/>
    </xf>
    <xf borderId="0" fillId="5" fontId="17" numFmtId="164" xfId="0" applyAlignment="1" applyFont="1" applyNumberFormat="1">
      <alignment vertical="top"/>
    </xf>
    <xf borderId="0" fillId="5" fontId="17" numFmtId="0" xfId="0" applyAlignment="1" applyFont="1">
      <alignment vertical="top"/>
    </xf>
    <xf borderId="0" fillId="3" fontId="17" numFmtId="0" xfId="0" applyAlignment="1" applyFont="1">
      <alignment readingOrder="0" vertical="top"/>
    </xf>
    <xf borderId="0" fillId="3" fontId="23" numFmtId="0" xfId="0" applyAlignment="1" applyFont="1">
      <alignment readingOrder="0" vertical="top"/>
    </xf>
    <xf borderId="0" fillId="3" fontId="17" numFmtId="164" xfId="0" applyAlignment="1" applyFont="1" applyNumberFormat="1">
      <alignment readingOrder="0" vertical="top"/>
    </xf>
    <xf borderId="0" fillId="3" fontId="5" numFmtId="0" xfId="0" applyAlignment="1" applyFont="1">
      <alignment horizontal="left" readingOrder="0" vertical="top"/>
    </xf>
    <xf borderId="0" fillId="3" fontId="5" numFmtId="164" xfId="0" applyAlignment="1" applyFont="1" applyNumberFormat="1">
      <alignment vertical="top"/>
    </xf>
    <xf borderId="0" fillId="3" fontId="5" numFmtId="0" xfId="0" applyFont="1"/>
    <xf borderId="0" fillId="3" fontId="5" numFmtId="0" xfId="0" applyAlignment="1" applyFont="1">
      <alignment readingOrder="0" vertical="top"/>
    </xf>
    <xf borderId="0" fillId="3" fontId="17" numFmtId="0" xfId="0" applyAlignment="1" applyFont="1">
      <alignment horizontal="left" readingOrder="0" vertical="top"/>
    </xf>
    <xf borderId="0" fillId="3" fontId="5" numFmtId="0" xfId="0" applyAlignment="1" applyFont="1">
      <alignment vertical="top"/>
    </xf>
    <xf borderId="0" fillId="3" fontId="17" numFmtId="164" xfId="0" applyAlignment="1" applyFont="1" applyNumberFormat="1">
      <alignment vertical="top"/>
    </xf>
    <xf borderId="0" fillId="3" fontId="17" numFmtId="0" xfId="0" applyAlignment="1" applyFont="1">
      <alignment vertical="top"/>
    </xf>
    <xf borderId="0" fillId="3" fontId="24" numFmtId="0" xfId="0" applyAlignment="1" applyFont="1">
      <alignment readingOrder="0" vertical="top"/>
    </xf>
    <xf borderId="0" fillId="4" fontId="17" numFmtId="0" xfId="0" applyAlignment="1" applyFont="1">
      <alignment readingOrder="0" vertical="top"/>
    </xf>
    <xf borderId="0" fillId="4" fontId="25" numFmtId="0" xfId="0" applyAlignment="1" applyFont="1">
      <alignment readingOrder="0" vertical="top"/>
    </xf>
    <xf borderId="0" fillId="4" fontId="17" numFmtId="164" xfId="0" applyAlignment="1" applyFont="1" applyNumberFormat="1">
      <alignment readingOrder="0" vertical="top"/>
    </xf>
    <xf borderId="0" fillId="4" fontId="17" numFmtId="0" xfId="0" applyAlignment="1" applyFont="1">
      <alignment horizontal="left" readingOrder="0" vertical="top"/>
    </xf>
    <xf borderId="0" fillId="4" fontId="5" numFmtId="0" xfId="0" applyAlignment="1" applyFont="1">
      <alignment vertical="top"/>
    </xf>
    <xf borderId="0" fillId="4" fontId="5" numFmtId="0" xfId="0" applyFont="1"/>
    <xf borderId="0" fillId="4" fontId="5" numFmtId="0" xfId="0" applyAlignment="1" applyFont="1">
      <alignment horizontal="left" readingOrder="0" vertical="top"/>
    </xf>
    <xf borderId="0" fillId="4" fontId="5" numFmtId="164" xfId="0" applyAlignment="1" applyFont="1" applyNumberFormat="1">
      <alignment vertical="top"/>
    </xf>
    <xf borderId="0" fillId="4" fontId="17" numFmtId="0" xfId="0" applyAlignment="1" applyFont="1">
      <alignment vertical="top"/>
    </xf>
    <xf borderId="0" fillId="4" fontId="5" numFmtId="0" xfId="0" applyAlignment="1" applyFont="1">
      <alignment readingOrder="0" vertical="top"/>
    </xf>
    <xf borderId="0" fillId="8" fontId="17" numFmtId="0" xfId="0" applyAlignment="1" applyFont="1">
      <alignment readingOrder="0" vertical="top"/>
    </xf>
    <xf borderId="0" fillId="8" fontId="26" numFmtId="0" xfId="0" applyAlignment="1" applyFont="1">
      <alignment readingOrder="0" vertical="top"/>
    </xf>
    <xf borderId="0" fillId="8" fontId="17" numFmtId="164" xfId="0" applyAlignment="1" applyFont="1" applyNumberFormat="1">
      <alignment readingOrder="0" vertical="top"/>
    </xf>
    <xf borderId="0" fillId="8" fontId="17" numFmtId="0" xfId="0" applyAlignment="1" applyFont="1">
      <alignment horizontal="left" readingOrder="0" vertical="top"/>
    </xf>
    <xf borderId="0" fillId="8" fontId="5" numFmtId="0" xfId="0" applyAlignment="1" applyFont="1">
      <alignment vertical="top"/>
    </xf>
    <xf borderId="0" fillId="8" fontId="5" numFmtId="0" xfId="0" applyFont="1"/>
    <xf borderId="0" fillId="8" fontId="5" numFmtId="0" xfId="0" applyAlignment="1" applyFont="1">
      <alignment readingOrder="0" vertical="top"/>
    </xf>
    <xf borderId="0" fillId="8" fontId="5" numFmtId="0" xfId="0" applyAlignment="1" applyFont="1">
      <alignment horizontal="left" readingOrder="0" vertical="top"/>
    </xf>
    <xf borderId="0" fillId="8" fontId="5" numFmtId="164" xfId="0" applyAlignment="1" applyFont="1" applyNumberFormat="1">
      <alignment vertical="top"/>
    </xf>
    <xf borderId="0" fillId="12" fontId="20" numFmtId="0" xfId="0" applyAlignment="1" applyFont="1">
      <alignment readingOrder="0"/>
    </xf>
    <xf borderId="0" fillId="8" fontId="27" numFmtId="0" xfId="0" applyAlignment="1" applyFont="1">
      <alignment readingOrder="0" vertical="top"/>
    </xf>
    <xf borderId="0" fillId="8" fontId="28" numFmtId="0" xfId="0" applyAlignment="1" applyFont="1">
      <alignment readingOrder="0" vertical="top"/>
    </xf>
    <xf borderId="0" fillId="8" fontId="17" numFmtId="0" xfId="0" applyAlignment="1" applyFont="1">
      <alignment vertical="top"/>
    </xf>
    <xf borderId="0" fillId="0" fontId="29" numFmtId="0" xfId="0" applyAlignment="1" applyFont="1">
      <alignment readingOrder="0"/>
    </xf>
    <xf quotePrefix="1" borderId="0" fillId="8" fontId="17" numFmtId="0" xfId="0" applyAlignment="1" applyFont="1">
      <alignment readingOrder="0" vertical="top"/>
    </xf>
    <xf borderId="0" fillId="0" fontId="30" numFmtId="0" xfId="0" applyAlignment="1" applyFont="1">
      <alignment readingOrder="0"/>
    </xf>
    <xf borderId="0" fillId="8" fontId="5" numFmtId="0" xfId="0" applyAlignment="1" applyFont="1">
      <alignment vertical="top"/>
    </xf>
    <xf borderId="0" fillId="12" fontId="31" numFmtId="0" xfId="0" applyAlignment="1" applyFont="1">
      <alignment readingOrder="0" vertical="bottom"/>
    </xf>
    <xf borderId="0" fillId="8" fontId="32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9" fontId="33" numFmtId="0" xfId="0" applyAlignment="1" applyFont="1">
      <alignment readingOrder="0" vertical="top"/>
    </xf>
    <xf borderId="0" fillId="9" fontId="17" numFmtId="164" xfId="0" applyAlignment="1" applyFont="1" applyNumberFormat="1">
      <alignment readingOrder="0" vertical="top"/>
    </xf>
    <xf borderId="0" fillId="9" fontId="17" numFmtId="0" xfId="0" applyAlignment="1" applyFont="1">
      <alignment horizontal="left" readingOrder="0" vertical="top"/>
    </xf>
    <xf borderId="0" fillId="9" fontId="5" numFmtId="0" xfId="0" applyFont="1"/>
    <xf borderId="0" fillId="9" fontId="5" numFmtId="0" xfId="0" applyAlignment="1" applyFont="1">
      <alignment vertical="top"/>
    </xf>
    <xf borderId="0" fillId="9" fontId="5" numFmtId="0" xfId="0" applyAlignment="1" applyFont="1">
      <alignment horizontal="left" readingOrder="0" vertical="top"/>
    </xf>
    <xf borderId="0" fillId="9" fontId="5" numFmtId="164" xfId="0" applyAlignment="1" applyFont="1" applyNumberFormat="1">
      <alignment vertical="top"/>
    </xf>
    <xf quotePrefix="1" borderId="0" fillId="9" fontId="17" numFmtId="0" xfId="0" applyAlignment="1" applyFont="1">
      <alignment readingOrder="0" vertical="top"/>
    </xf>
    <xf borderId="0" fillId="9" fontId="5" numFmtId="0" xfId="0" applyAlignment="1" applyFont="1">
      <alignment vertical="top"/>
    </xf>
    <xf borderId="0" fillId="9" fontId="5" numFmtId="0" xfId="0" applyAlignment="1" applyFont="1">
      <alignment readingOrder="0" vertical="top"/>
    </xf>
    <xf borderId="0" fillId="9" fontId="34" numFmtId="0" xfId="0" applyAlignment="1" applyFont="1">
      <alignment readingOrder="0" vertical="top"/>
    </xf>
    <xf borderId="0" fillId="2" fontId="17" numFmtId="0" xfId="0" applyAlignment="1" applyFont="1">
      <alignment readingOrder="0" vertical="top"/>
    </xf>
    <xf borderId="0" fillId="2" fontId="35" numFmtId="0" xfId="0" applyAlignment="1" applyFont="1">
      <alignment readingOrder="0" vertical="top"/>
    </xf>
    <xf borderId="0" fillId="2" fontId="17" numFmtId="164" xfId="0" applyAlignment="1" applyFont="1" applyNumberFormat="1">
      <alignment readingOrder="0" vertical="top"/>
    </xf>
    <xf borderId="0" fillId="2" fontId="17" numFmtId="0" xfId="0" applyAlignment="1" applyFont="1">
      <alignment horizontal="left" readingOrder="0" vertical="top"/>
    </xf>
    <xf borderId="0" fillId="2" fontId="17" numFmtId="164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v.wikipedia.org/w/index.php?curid=1133356" TargetMode="External"/><Relationship Id="rId42" Type="http://schemas.openxmlformats.org/officeDocument/2006/relationships/hyperlink" Target="https://sv.wikipedia.org/w/index.php?curid=555152" TargetMode="External"/><Relationship Id="rId41" Type="http://schemas.openxmlformats.org/officeDocument/2006/relationships/hyperlink" Target="https://sv.wikipedia.org/w/index.php?curid=1121985" TargetMode="External"/><Relationship Id="rId44" Type="http://schemas.openxmlformats.org/officeDocument/2006/relationships/hyperlink" Target="https://sv.wikipedia.org/w/index.php?curid=1027309" TargetMode="External"/><Relationship Id="rId43" Type="http://schemas.openxmlformats.org/officeDocument/2006/relationships/hyperlink" Target="https://sv.wikipedia.org/w/index.php?curid=1645777" TargetMode="External"/><Relationship Id="rId46" Type="http://schemas.openxmlformats.org/officeDocument/2006/relationships/hyperlink" Target="https://sv.wikipedia.org/w/index.php?curid=591474" TargetMode="External"/><Relationship Id="rId45" Type="http://schemas.openxmlformats.org/officeDocument/2006/relationships/hyperlink" Target="https://sv.wikipedia.org/w/index.php?curid=435142" TargetMode="External"/><Relationship Id="rId107" Type="http://schemas.openxmlformats.org/officeDocument/2006/relationships/hyperlink" Target="https://sv.wikipedia.org/w/index.php?curid=1016141" TargetMode="External"/><Relationship Id="rId106" Type="http://schemas.openxmlformats.org/officeDocument/2006/relationships/hyperlink" Target="https://sv.wikipedia.org/w/index.php?curid=847478" TargetMode="External"/><Relationship Id="rId105" Type="http://schemas.openxmlformats.org/officeDocument/2006/relationships/hyperlink" Target="https://sv.wikipedia.org/w/index.php?curid=1089726" TargetMode="External"/><Relationship Id="rId104" Type="http://schemas.openxmlformats.org/officeDocument/2006/relationships/hyperlink" Target="https://sv.wikipedia.org/w/index.php?curid=1627814" TargetMode="External"/><Relationship Id="rId109" Type="http://schemas.openxmlformats.org/officeDocument/2006/relationships/hyperlink" Target="https://sv.wikipedia.org/w/index.php?curid=1016776" TargetMode="External"/><Relationship Id="rId108" Type="http://schemas.openxmlformats.org/officeDocument/2006/relationships/hyperlink" Target="https://sv.wikipedia.org/w/index.php?curid=1121906" TargetMode="External"/><Relationship Id="rId48" Type="http://schemas.openxmlformats.org/officeDocument/2006/relationships/hyperlink" Target="https://sv.wikipedia.org/w/index.php?curid=1063757" TargetMode="External"/><Relationship Id="rId47" Type="http://schemas.openxmlformats.org/officeDocument/2006/relationships/hyperlink" Target="https://sv.wikipedia.org/w/index.php?curid=8343653" TargetMode="External"/><Relationship Id="rId49" Type="http://schemas.openxmlformats.org/officeDocument/2006/relationships/hyperlink" Target="https://sv.wikipedia.org/w/index.php?curid=564506" TargetMode="External"/><Relationship Id="rId103" Type="http://schemas.openxmlformats.org/officeDocument/2006/relationships/hyperlink" Target="https://sv.wikipedia.org/w/index.php?curid=1016145" TargetMode="External"/><Relationship Id="rId102" Type="http://schemas.openxmlformats.org/officeDocument/2006/relationships/hyperlink" Target="https://sv.wikipedia.org/w/index.php?curid=1019151" TargetMode="External"/><Relationship Id="rId101" Type="http://schemas.openxmlformats.org/officeDocument/2006/relationships/hyperlink" Target="https://sv.wikipedia.org/w/index.php?curid=162172" TargetMode="External"/><Relationship Id="rId100" Type="http://schemas.openxmlformats.org/officeDocument/2006/relationships/hyperlink" Target="https://sv.wikipedia.org/w/index.php?curid=1698018" TargetMode="External"/><Relationship Id="rId31" Type="http://schemas.openxmlformats.org/officeDocument/2006/relationships/hyperlink" Target="https://sv.wikipedia.org/w/index.php?curid=1066851" TargetMode="External"/><Relationship Id="rId30" Type="http://schemas.openxmlformats.org/officeDocument/2006/relationships/hyperlink" Target="https://sv.wikipedia.org/w/index.php?curid=512977" TargetMode="External"/><Relationship Id="rId33" Type="http://schemas.openxmlformats.org/officeDocument/2006/relationships/hyperlink" Target="https://sv.wikipedia.org/w/index.php?curid=1142987" TargetMode="External"/><Relationship Id="rId32" Type="http://schemas.openxmlformats.org/officeDocument/2006/relationships/hyperlink" Target="https://sv.wikipedia.org/w/index.php?curid=1461258" TargetMode="External"/><Relationship Id="rId35" Type="http://schemas.openxmlformats.org/officeDocument/2006/relationships/hyperlink" Target="https://sv.wikipedia.org/w/index.php?curid=297200" TargetMode="External"/><Relationship Id="rId34" Type="http://schemas.openxmlformats.org/officeDocument/2006/relationships/hyperlink" Target="https://sv.wikipedia.org/w/index.php?curid=1608086" TargetMode="External"/><Relationship Id="rId37" Type="http://schemas.openxmlformats.org/officeDocument/2006/relationships/hyperlink" Target="https://sv.wikipedia.org/w/index.php?curid=549094" TargetMode="External"/><Relationship Id="rId36" Type="http://schemas.openxmlformats.org/officeDocument/2006/relationships/hyperlink" Target="https://sv.wikipedia.org/w/index.php?curid=1062904" TargetMode="External"/><Relationship Id="rId39" Type="http://schemas.openxmlformats.org/officeDocument/2006/relationships/hyperlink" Target="https://sv.wikipedia.org/w/index.php?curid=996366" TargetMode="External"/><Relationship Id="rId38" Type="http://schemas.openxmlformats.org/officeDocument/2006/relationships/hyperlink" Target="https://sv.wikipedia.org/w/index.php?curid=996072" TargetMode="External"/><Relationship Id="rId20" Type="http://schemas.openxmlformats.org/officeDocument/2006/relationships/hyperlink" Target="https://sv.wikipedia.org/w/index.php?curid=557581" TargetMode="External"/><Relationship Id="rId22" Type="http://schemas.openxmlformats.org/officeDocument/2006/relationships/hyperlink" Target="https://sv.wikipedia.org/w/index.php?curid=1054574" TargetMode="External"/><Relationship Id="rId21" Type="http://schemas.openxmlformats.org/officeDocument/2006/relationships/hyperlink" Target="https://sv.wikipedia.org/w/index.php?curid=730785" TargetMode="External"/><Relationship Id="rId24" Type="http://schemas.openxmlformats.org/officeDocument/2006/relationships/hyperlink" Target="https://sv.wikipedia.org/w/index.php?curid=453878" TargetMode="External"/><Relationship Id="rId23" Type="http://schemas.openxmlformats.org/officeDocument/2006/relationships/hyperlink" Target="https://sv.wikipedia.org/w/index.php?curid=257881" TargetMode="External"/><Relationship Id="rId129" Type="http://schemas.openxmlformats.org/officeDocument/2006/relationships/hyperlink" Target="http://runeberg.org/statskal/1905/0379.html" TargetMode="External"/><Relationship Id="rId128" Type="http://schemas.openxmlformats.org/officeDocument/2006/relationships/hyperlink" Target="http://runeberg.org/statskal/1881/0332.html" TargetMode="External"/><Relationship Id="rId127" Type="http://schemas.openxmlformats.org/officeDocument/2006/relationships/hyperlink" Target="https://sv.wikipedia.org/w/index.php?curid=1054884" TargetMode="External"/><Relationship Id="rId126" Type="http://schemas.openxmlformats.org/officeDocument/2006/relationships/hyperlink" Target="https://sv.wikipedia.org/w/index.php?curid=1093067" TargetMode="External"/><Relationship Id="rId26" Type="http://schemas.openxmlformats.org/officeDocument/2006/relationships/hyperlink" Target="https://sv.wikipedia.org/w/index.php?curid=1172960" TargetMode="External"/><Relationship Id="rId121" Type="http://schemas.openxmlformats.org/officeDocument/2006/relationships/hyperlink" Target="https://sv.wikipedia.org/w/index.php?curid=1060954" TargetMode="External"/><Relationship Id="rId25" Type="http://schemas.openxmlformats.org/officeDocument/2006/relationships/hyperlink" Target="https://sv.wikipedia.org/w/index.php?curid=506691" TargetMode="External"/><Relationship Id="rId120" Type="http://schemas.openxmlformats.org/officeDocument/2006/relationships/hyperlink" Target="https://sv.wikipedia.org/w/index.php?curid=825815" TargetMode="External"/><Relationship Id="rId28" Type="http://schemas.openxmlformats.org/officeDocument/2006/relationships/hyperlink" Target="https://sv.wikipedia.org/w/index.php?curid=591429" TargetMode="External"/><Relationship Id="rId27" Type="http://schemas.openxmlformats.org/officeDocument/2006/relationships/hyperlink" Target="https://sv.wikipedia.org/w/index.php?curid=453896" TargetMode="External"/><Relationship Id="rId125" Type="http://schemas.openxmlformats.org/officeDocument/2006/relationships/hyperlink" Target="https://sv.wikipedia.org/w/index.php?curid=1047323" TargetMode="External"/><Relationship Id="rId29" Type="http://schemas.openxmlformats.org/officeDocument/2006/relationships/hyperlink" Target="https://sv.wikipedia.org/w/index.php?curid=1117307" TargetMode="External"/><Relationship Id="rId124" Type="http://schemas.openxmlformats.org/officeDocument/2006/relationships/hyperlink" Target="https://sv.wikipedia.org/w/index.php?curid=97236" TargetMode="External"/><Relationship Id="rId123" Type="http://schemas.openxmlformats.org/officeDocument/2006/relationships/hyperlink" Target="https://sv.wikipedia.org/w/index.php?curid=72110" TargetMode="External"/><Relationship Id="rId122" Type="http://schemas.openxmlformats.org/officeDocument/2006/relationships/hyperlink" Target="https://sv.wikipedia.org/w/index.php?curid=1089704" TargetMode="External"/><Relationship Id="rId95" Type="http://schemas.openxmlformats.org/officeDocument/2006/relationships/hyperlink" Target="https://sv.wikipedia.org/w/index.php?curid=1088359" TargetMode="External"/><Relationship Id="rId94" Type="http://schemas.openxmlformats.org/officeDocument/2006/relationships/hyperlink" Target="https://sv.wikipedia.org/w/index.php?curid=1212492" TargetMode="External"/><Relationship Id="rId97" Type="http://schemas.openxmlformats.org/officeDocument/2006/relationships/hyperlink" Target="https://sv.wikipedia.org/w/index.php?curid=1251311" TargetMode="External"/><Relationship Id="rId96" Type="http://schemas.openxmlformats.org/officeDocument/2006/relationships/hyperlink" Target="https://sv.wikipedia.org/w/index.php?curid=7169038" TargetMode="External"/><Relationship Id="rId11" Type="http://schemas.openxmlformats.org/officeDocument/2006/relationships/hyperlink" Target="https://sv.wikipedia.org/w/index.php?curid=510799" TargetMode="External"/><Relationship Id="rId99" Type="http://schemas.openxmlformats.org/officeDocument/2006/relationships/hyperlink" Target="https://sv.wikipedia.org/w/index.php?curid=3958979" TargetMode="External"/><Relationship Id="rId10" Type="http://schemas.openxmlformats.org/officeDocument/2006/relationships/hyperlink" Target="https://sv.wikipedia.org/w/index.php?curid=730807" TargetMode="External"/><Relationship Id="rId98" Type="http://schemas.openxmlformats.org/officeDocument/2006/relationships/hyperlink" Target="https://sv.wikipedia.org/w/index.php?curid=4887322" TargetMode="External"/><Relationship Id="rId13" Type="http://schemas.openxmlformats.org/officeDocument/2006/relationships/hyperlink" Target="https://sv.wikipedia.org/w/index.php?curid=727191" TargetMode="External"/><Relationship Id="rId12" Type="http://schemas.openxmlformats.org/officeDocument/2006/relationships/hyperlink" Target="https://sv.wikipedia.org/w/index.php?curid=508160" TargetMode="External"/><Relationship Id="rId91" Type="http://schemas.openxmlformats.org/officeDocument/2006/relationships/hyperlink" Target="https://sv.wikipedia.org/w/index.php?curid=7578195" TargetMode="External"/><Relationship Id="rId90" Type="http://schemas.openxmlformats.org/officeDocument/2006/relationships/hyperlink" Target="https://sv.wikipedia.org/w/index.php?curid=8183758" TargetMode="External"/><Relationship Id="rId93" Type="http://schemas.openxmlformats.org/officeDocument/2006/relationships/hyperlink" Target="https://sv.wikipedia.org/w/index.php?curid=8042731" TargetMode="External"/><Relationship Id="rId92" Type="http://schemas.openxmlformats.org/officeDocument/2006/relationships/hyperlink" Target="https://sv.wikipedia.org/w/index.php?curid=1421102" TargetMode="External"/><Relationship Id="rId118" Type="http://schemas.openxmlformats.org/officeDocument/2006/relationships/hyperlink" Target="https://sv.wikipedia.org/w/index.php?curid=1058049" TargetMode="External"/><Relationship Id="rId117" Type="http://schemas.openxmlformats.org/officeDocument/2006/relationships/hyperlink" Target="https://sv.wikipedia.org/w/index.php?curid=1058986" TargetMode="External"/><Relationship Id="rId116" Type="http://schemas.openxmlformats.org/officeDocument/2006/relationships/hyperlink" Target="https://sv.wikipedia.org/w/index.php?curid=1152199" TargetMode="External"/><Relationship Id="rId115" Type="http://schemas.openxmlformats.org/officeDocument/2006/relationships/hyperlink" Target="https://sv.wikipedia.org/w/index.php?curid=545286" TargetMode="External"/><Relationship Id="rId119" Type="http://schemas.openxmlformats.org/officeDocument/2006/relationships/hyperlink" Target="https://sv.wikipedia.org/w/index.php?curid=1890880" TargetMode="External"/><Relationship Id="rId15" Type="http://schemas.openxmlformats.org/officeDocument/2006/relationships/hyperlink" Target="https://sv.wikipedia.org/w/index.php?curid=555144" TargetMode="External"/><Relationship Id="rId110" Type="http://schemas.openxmlformats.org/officeDocument/2006/relationships/hyperlink" Target="https://sv.wikipedia.org/w/index.php?curid=1061590" TargetMode="External"/><Relationship Id="rId14" Type="http://schemas.openxmlformats.org/officeDocument/2006/relationships/hyperlink" Target="https://sv.wikipedia.org/w/index.php?curid=925233" TargetMode="External"/><Relationship Id="rId17" Type="http://schemas.openxmlformats.org/officeDocument/2006/relationships/hyperlink" Target="https://sv.wikipedia.org/w/index.php?curid=501481" TargetMode="External"/><Relationship Id="rId16" Type="http://schemas.openxmlformats.org/officeDocument/2006/relationships/hyperlink" Target="https://sv.wikipedia.org/w/index.php?curid=730364" TargetMode="External"/><Relationship Id="rId19" Type="http://schemas.openxmlformats.org/officeDocument/2006/relationships/hyperlink" Target="https://sv.wikipedia.org/w/index.php?curid=452999" TargetMode="External"/><Relationship Id="rId114" Type="http://schemas.openxmlformats.org/officeDocument/2006/relationships/hyperlink" Target="https://sv.wikipedia.org/w/index.php?curid=74383" TargetMode="External"/><Relationship Id="rId18" Type="http://schemas.openxmlformats.org/officeDocument/2006/relationships/hyperlink" Target="https://sv.wikipedia.org/w/index.php?curid=1467959" TargetMode="External"/><Relationship Id="rId113" Type="http://schemas.openxmlformats.org/officeDocument/2006/relationships/hyperlink" Target="https://sv.wikipedia.org/w/index.php?curid=1116972" TargetMode="External"/><Relationship Id="rId112" Type="http://schemas.openxmlformats.org/officeDocument/2006/relationships/hyperlink" Target="https://sv.wikipedia.org/w/index.php?curid=890747" TargetMode="External"/><Relationship Id="rId111" Type="http://schemas.openxmlformats.org/officeDocument/2006/relationships/hyperlink" Target="https://sv.wikipedia.org/w/index.php?curid=8181252" TargetMode="External"/><Relationship Id="rId84" Type="http://schemas.openxmlformats.org/officeDocument/2006/relationships/hyperlink" Target="https://sv.wikipedia.org/w/index.php?curid=3710967" TargetMode="External"/><Relationship Id="rId83" Type="http://schemas.openxmlformats.org/officeDocument/2006/relationships/hyperlink" Target="https://sv.wikipedia.org/w/index.php?curid=1627865" TargetMode="External"/><Relationship Id="rId86" Type="http://schemas.openxmlformats.org/officeDocument/2006/relationships/hyperlink" Target="https://sv.wikipedia.org/w/index.php?curid=1105745" TargetMode="External"/><Relationship Id="rId85" Type="http://schemas.openxmlformats.org/officeDocument/2006/relationships/hyperlink" Target="https://sv.wikipedia.org/w/index.php?curid=455078" TargetMode="External"/><Relationship Id="rId88" Type="http://schemas.openxmlformats.org/officeDocument/2006/relationships/hyperlink" Target="https://sv.wikipedia.org/w/index.php?curid=1541033" TargetMode="External"/><Relationship Id="rId87" Type="http://schemas.openxmlformats.org/officeDocument/2006/relationships/hyperlink" Target="https://sv.wikipedia.org/w/index.php?curid=1055861" TargetMode="External"/><Relationship Id="rId89" Type="http://schemas.openxmlformats.org/officeDocument/2006/relationships/hyperlink" Target="https://sv.wikipedia.org/w/index.php?curid=4918851" TargetMode="External"/><Relationship Id="rId80" Type="http://schemas.openxmlformats.org/officeDocument/2006/relationships/hyperlink" Target="https://sv.wikipedia.org/w/index.php?curid=1193636" TargetMode="External"/><Relationship Id="rId82" Type="http://schemas.openxmlformats.org/officeDocument/2006/relationships/hyperlink" Target="https://sv.wikipedia.org/w/index.php?curid=10107" TargetMode="External"/><Relationship Id="rId81" Type="http://schemas.openxmlformats.org/officeDocument/2006/relationships/hyperlink" Target="https://sv.wikipedia.org/w/index.php?curid=1213656" TargetMode="External"/><Relationship Id="rId1" Type="http://schemas.openxmlformats.org/officeDocument/2006/relationships/hyperlink" Target="https://sv.wikipedia.org/w/index.php?curid=737301" TargetMode="External"/><Relationship Id="rId2" Type="http://schemas.openxmlformats.org/officeDocument/2006/relationships/hyperlink" Target="https://sv.wikipedia.org/w/index.php?curid=155659" TargetMode="External"/><Relationship Id="rId3" Type="http://schemas.openxmlformats.org/officeDocument/2006/relationships/hyperlink" Target="https://sv.wikipedia.org/w/index.php?curid=529107" TargetMode="External"/><Relationship Id="rId4" Type="http://schemas.openxmlformats.org/officeDocument/2006/relationships/hyperlink" Target="https://sv.wikipedia.org/w/index.php?curid=730928" TargetMode="External"/><Relationship Id="rId9" Type="http://schemas.openxmlformats.org/officeDocument/2006/relationships/hyperlink" Target="https://sv.wikipedia.org/w/index.php?curid=727201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://runeberg.org/statskal/1970/0661.html" TargetMode="External"/><Relationship Id="rId140" Type="http://schemas.openxmlformats.org/officeDocument/2006/relationships/hyperlink" Target="http://runeberg.org/statskal/1964/0653.html" TargetMode="External"/><Relationship Id="rId5" Type="http://schemas.openxmlformats.org/officeDocument/2006/relationships/hyperlink" Target="https://sv.wikipedia.org/w/index.php?curid=591398" TargetMode="External"/><Relationship Id="rId6" Type="http://schemas.openxmlformats.org/officeDocument/2006/relationships/hyperlink" Target="https://sv.wikipedia.org/w/index.php?curid=1797406" TargetMode="External"/><Relationship Id="rId7" Type="http://schemas.openxmlformats.org/officeDocument/2006/relationships/hyperlink" Target="https://sv.wikipedia.org/w/index.php?curid=546876" TargetMode="External"/><Relationship Id="rId8" Type="http://schemas.openxmlformats.org/officeDocument/2006/relationships/hyperlink" Target="https://sv.wikipedia.org/w/index.php?curid=546955" TargetMode="External"/><Relationship Id="rId73" Type="http://schemas.openxmlformats.org/officeDocument/2006/relationships/hyperlink" Target="https://sv.wikipedia.org/w/index.php?curid=666582" TargetMode="External"/><Relationship Id="rId72" Type="http://schemas.openxmlformats.org/officeDocument/2006/relationships/hyperlink" Target="https://sv.wikipedia.org/w/index.php?curid=1016242" TargetMode="External"/><Relationship Id="rId75" Type="http://schemas.openxmlformats.org/officeDocument/2006/relationships/hyperlink" Target="https://sv.wikipedia.org/w/index.php?curid=825801" TargetMode="External"/><Relationship Id="rId74" Type="http://schemas.openxmlformats.org/officeDocument/2006/relationships/hyperlink" Target="https://sv.wikipedia.org/w/index.php?curid=1626888" TargetMode="External"/><Relationship Id="rId77" Type="http://schemas.openxmlformats.org/officeDocument/2006/relationships/hyperlink" Target="https://sv.wikipedia.org/w/index.php?curid=7170000" TargetMode="External"/><Relationship Id="rId76" Type="http://schemas.openxmlformats.org/officeDocument/2006/relationships/hyperlink" Target="https://sv.wikipedia.org/w/index.php?curid=292927" TargetMode="External"/><Relationship Id="rId79" Type="http://schemas.openxmlformats.org/officeDocument/2006/relationships/hyperlink" Target="https://sv.wikipedia.org/w/index.php?curid=8550157" TargetMode="External"/><Relationship Id="rId78" Type="http://schemas.openxmlformats.org/officeDocument/2006/relationships/hyperlink" Target="https://sv.wikipedia.org/w/index.php?curid=8493176" TargetMode="External"/><Relationship Id="rId71" Type="http://schemas.openxmlformats.org/officeDocument/2006/relationships/hyperlink" Target="https://sv.wikipedia.org/w/index.php?curid=830105" TargetMode="External"/><Relationship Id="rId70" Type="http://schemas.openxmlformats.org/officeDocument/2006/relationships/hyperlink" Target="https://sv.wikipedia.org/w/index.php?curid=8236943" TargetMode="External"/><Relationship Id="rId139" Type="http://schemas.openxmlformats.org/officeDocument/2006/relationships/hyperlink" Target="http://runeberg.org/statskal/1963/0818.html" TargetMode="External"/><Relationship Id="rId138" Type="http://schemas.openxmlformats.org/officeDocument/2006/relationships/hyperlink" Target="http://runeberg.org/statskal/1955/0883.html" TargetMode="External"/><Relationship Id="rId137" Type="http://schemas.openxmlformats.org/officeDocument/2006/relationships/hyperlink" Target="http://runeberg.org/statskal/1947/0770.html" TargetMode="External"/><Relationship Id="rId132" Type="http://schemas.openxmlformats.org/officeDocument/2006/relationships/hyperlink" Target="http://runeberg.org/statskal/1925/0598.html" TargetMode="External"/><Relationship Id="rId131" Type="http://schemas.openxmlformats.org/officeDocument/2006/relationships/hyperlink" Target="http://runeberg.org/statskal/1921/0574.html" TargetMode="External"/><Relationship Id="rId130" Type="http://schemas.openxmlformats.org/officeDocument/2006/relationships/hyperlink" Target="http://runeberg.org/statskal/1915/0550.html" TargetMode="External"/><Relationship Id="rId136" Type="http://schemas.openxmlformats.org/officeDocument/2006/relationships/hyperlink" Target="http://runeberg.org/statskal/1945/0731.html" TargetMode="External"/><Relationship Id="rId135" Type="http://schemas.openxmlformats.org/officeDocument/2006/relationships/hyperlink" Target="http://runeberg.org/statskal/1942/0727.html" TargetMode="External"/><Relationship Id="rId134" Type="http://schemas.openxmlformats.org/officeDocument/2006/relationships/hyperlink" Target="http://runeberg.org/statskal/1940/0706.html" TargetMode="External"/><Relationship Id="rId133" Type="http://schemas.openxmlformats.org/officeDocument/2006/relationships/hyperlink" Target="http://runeberg.org/statskal/1931/0640.html" TargetMode="External"/><Relationship Id="rId62" Type="http://schemas.openxmlformats.org/officeDocument/2006/relationships/hyperlink" Target="https://sv.wikipedia.org/w/index.php?curid=677466" TargetMode="External"/><Relationship Id="rId61" Type="http://schemas.openxmlformats.org/officeDocument/2006/relationships/hyperlink" Target="https://sv.wikipedia.org/w/index.php?curid=1626920" TargetMode="External"/><Relationship Id="rId64" Type="http://schemas.openxmlformats.org/officeDocument/2006/relationships/hyperlink" Target="https://sv.wikipedia.org/w/index.php?curid=788" TargetMode="External"/><Relationship Id="rId63" Type="http://schemas.openxmlformats.org/officeDocument/2006/relationships/hyperlink" Target="https://sv.wikipedia.org/w/index.php?curid=1627563" TargetMode="External"/><Relationship Id="rId66" Type="http://schemas.openxmlformats.org/officeDocument/2006/relationships/hyperlink" Target="https://sv.wikipedia.org/w/index.php?curid=8159293" TargetMode="External"/><Relationship Id="rId65" Type="http://schemas.openxmlformats.org/officeDocument/2006/relationships/hyperlink" Target="https://sv.wikipedia.org/w/index.php?curid=145237" TargetMode="External"/><Relationship Id="rId68" Type="http://schemas.openxmlformats.org/officeDocument/2006/relationships/hyperlink" Target="https://sv.wikipedia.org/w/index.php?curid=3900266" TargetMode="External"/><Relationship Id="rId67" Type="http://schemas.openxmlformats.org/officeDocument/2006/relationships/hyperlink" Target="https://sv.wikipedia.org/w/index.php?curid=6791506" TargetMode="External"/><Relationship Id="rId60" Type="http://schemas.openxmlformats.org/officeDocument/2006/relationships/hyperlink" Target="https://sv.wikipedia.org/w/index.php?curid=8241585" TargetMode="External"/><Relationship Id="rId69" Type="http://schemas.openxmlformats.org/officeDocument/2006/relationships/hyperlink" Target="https://sv.wikipedia.org/w/index.php?curid=1031257" TargetMode="External"/><Relationship Id="rId51" Type="http://schemas.openxmlformats.org/officeDocument/2006/relationships/hyperlink" Target="https://sv.wikipedia.org/w/index.php?curid=2780548" TargetMode="External"/><Relationship Id="rId50" Type="http://schemas.openxmlformats.org/officeDocument/2006/relationships/hyperlink" Target="https://sv.wikipedia.org/w/index.php?curid=1626930" TargetMode="External"/><Relationship Id="rId53" Type="http://schemas.openxmlformats.org/officeDocument/2006/relationships/hyperlink" Target="https://sv.wikipedia.org/w/index.php?curid=1209392" TargetMode="External"/><Relationship Id="rId52" Type="http://schemas.openxmlformats.org/officeDocument/2006/relationships/hyperlink" Target="https://sv.wikipedia.org/w/index.php?curid=1160243" TargetMode="External"/><Relationship Id="rId55" Type="http://schemas.openxmlformats.org/officeDocument/2006/relationships/hyperlink" Target="https://sv.wikipedia.org/w/index.php?curid=1063294" TargetMode="External"/><Relationship Id="rId54" Type="http://schemas.openxmlformats.org/officeDocument/2006/relationships/hyperlink" Target="https://sv.wikipedia.org/w/index.php?curid=1053862" TargetMode="External"/><Relationship Id="rId57" Type="http://schemas.openxmlformats.org/officeDocument/2006/relationships/hyperlink" Target="https://sv.wikipedia.org/w/index.php?curid=1160875" TargetMode="External"/><Relationship Id="rId56" Type="http://schemas.openxmlformats.org/officeDocument/2006/relationships/hyperlink" Target="https://sv.wikipedia.org/w/index.php?curid=1054307" TargetMode="External"/><Relationship Id="rId59" Type="http://schemas.openxmlformats.org/officeDocument/2006/relationships/hyperlink" Target="https://sv.wikipedia.org/w/index.php?curid=11453" TargetMode="External"/><Relationship Id="rId58" Type="http://schemas.openxmlformats.org/officeDocument/2006/relationships/hyperlink" Target="https://sv.wikipedia.org/w/index.php?curid=810783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v.wikipedia.org/w/index.php?curid=557581" TargetMode="External"/><Relationship Id="rId190" Type="http://schemas.openxmlformats.org/officeDocument/2006/relationships/hyperlink" Target="https://sv.wikipedia.org/w/index.php?curid=1060954" TargetMode="External"/><Relationship Id="rId42" Type="http://schemas.openxmlformats.org/officeDocument/2006/relationships/hyperlink" Target="https://sv.wikipedia.org/w/index.php?curid=1054574" TargetMode="External"/><Relationship Id="rId41" Type="http://schemas.openxmlformats.org/officeDocument/2006/relationships/hyperlink" Target="https://sv.wikipedia.org/w/index.php?curid=730785" TargetMode="External"/><Relationship Id="rId44" Type="http://schemas.openxmlformats.org/officeDocument/2006/relationships/hyperlink" Target="https://sv.wikipedia.org/w/index.php?curid=453878" TargetMode="External"/><Relationship Id="rId194" Type="http://schemas.openxmlformats.org/officeDocument/2006/relationships/hyperlink" Target="https://sv.wikipedia.org/w/index.php?curid=1251359" TargetMode="External"/><Relationship Id="rId43" Type="http://schemas.openxmlformats.org/officeDocument/2006/relationships/hyperlink" Target="https://sv.wikipedia.org/w/index.php?curid=257881" TargetMode="External"/><Relationship Id="rId193" Type="http://schemas.openxmlformats.org/officeDocument/2006/relationships/hyperlink" Target="https://sv.wikipedia.org/w/index.php?curid=1090705" TargetMode="External"/><Relationship Id="rId46" Type="http://schemas.openxmlformats.org/officeDocument/2006/relationships/hyperlink" Target="https://sv.wikipedia.org/w/index.php?curid=506691" TargetMode="External"/><Relationship Id="rId192" Type="http://schemas.openxmlformats.org/officeDocument/2006/relationships/hyperlink" Target="https://sv.wikipedia.org/w/index.php?curid=1048426" TargetMode="External"/><Relationship Id="rId45" Type="http://schemas.openxmlformats.org/officeDocument/2006/relationships/hyperlink" Target="https://sv.wikipedia.org/w/index.php?curid=7180368" TargetMode="External"/><Relationship Id="rId191" Type="http://schemas.openxmlformats.org/officeDocument/2006/relationships/hyperlink" Target="https://sv.wikipedia.org/w/index.php?curid=1089704" TargetMode="External"/><Relationship Id="rId48" Type="http://schemas.openxmlformats.org/officeDocument/2006/relationships/hyperlink" Target="https://sv.wikipedia.org/w/index.php?curid=453896" TargetMode="External"/><Relationship Id="rId187" Type="http://schemas.openxmlformats.org/officeDocument/2006/relationships/hyperlink" Target="https://sv.wikipedia.org/w/index.php?curid=6730329" TargetMode="External"/><Relationship Id="rId47" Type="http://schemas.openxmlformats.org/officeDocument/2006/relationships/hyperlink" Target="https://sv.wikipedia.org/w/index.php?curid=1172960" TargetMode="External"/><Relationship Id="rId186" Type="http://schemas.openxmlformats.org/officeDocument/2006/relationships/hyperlink" Target="https://sv.wikipedia.org/w/index.php?curid=3920337" TargetMode="External"/><Relationship Id="rId185" Type="http://schemas.openxmlformats.org/officeDocument/2006/relationships/hyperlink" Target="https://sv.wikipedia.org/w/index.php?curid=6689347" TargetMode="External"/><Relationship Id="rId49" Type="http://schemas.openxmlformats.org/officeDocument/2006/relationships/hyperlink" Target="https://sv.wikipedia.org/w/index.php?curid=591429" TargetMode="External"/><Relationship Id="rId184" Type="http://schemas.openxmlformats.org/officeDocument/2006/relationships/hyperlink" Target="https://sv.wikipedia.org/w/index.php?curid=1527255" TargetMode="External"/><Relationship Id="rId189" Type="http://schemas.openxmlformats.org/officeDocument/2006/relationships/hyperlink" Target="https://sv.wikipedia.org/w/index.php?curid=220533" TargetMode="External"/><Relationship Id="rId188" Type="http://schemas.openxmlformats.org/officeDocument/2006/relationships/hyperlink" Target="https://sv.wikipedia.org/w/index.php?curid=1067248" TargetMode="External"/><Relationship Id="rId31" Type="http://schemas.openxmlformats.org/officeDocument/2006/relationships/hyperlink" Target="https://sv.wikipedia.org/w/index.php?curid=501481" TargetMode="External"/><Relationship Id="rId30" Type="http://schemas.openxmlformats.org/officeDocument/2006/relationships/hyperlink" Target="https://sv.wikipedia.org/w/index.php?curid=730364" TargetMode="External"/><Relationship Id="rId33" Type="http://schemas.openxmlformats.org/officeDocument/2006/relationships/hyperlink" Target="https://sv.wikipedia.org/w/index.php?curid=1467959" TargetMode="External"/><Relationship Id="rId183" Type="http://schemas.openxmlformats.org/officeDocument/2006/relationships/hyperlink" Target="https://sv.wikipedia.org/w/index.php?curid=825815" TargetMode="External"/><Relationship Id="rId32" Type="http://schemas.openxmlformats.org/officeDocument/2006/relationships/hyperlink" Target="https://sv.wikipedia.org/w/index.php?curid=1598967" TargetMode="External"/><Relationship Id="rId182" Type="http://schemas.openxmlformats.org/officeDocument/2006/relationships/hyperlink" Target="https://sv.wikipedia.org/w/index.php?curid=283291" TargetMode="External"/><Relationship Id="rId35" Type="http://schemas.openxmlformats.org/officeDocument/2006/relationships/hyperlink" Target="https://sv.wikipedia.org/w/index.php?curid=4121833" TargetMode="External"/><Relationship Id="rId181" Type="http://schemas.openxmlformats.org/officeDocument/2006/relationships/hyperlink" Target="https://sv.wikipedia.org/w/index.php?curid=249181" TargetMode="External"/><Relationship Id="rId34" Type="http://schemas.openxmlformats.org/officeDocument/2006/relationships/hyperlink" Target="https://sv.wikipedia.org/w/index.php?curid=4991732" TargetMode="External"/><Relationship Id="rId180" Type="http://schemas.openxmlformats.org/officeDocument/2006/relationships/hyperlink" Target="https://sv.wikipedia.org/w/index.php?curid=1053806" TargetMode="External"/><Relationship Id="rId37" Type="http://schemas.openxmlformats.org/officeDocument/2006/relationships/hyperlink" Target="https://sv.wikipedia.org/w/index.php?curid=452999" TargetMode="External"/><Relationship Id="rId176" Type="http://schemas.openxmlformats.org/officeDocument/2006/relationships/hyperlink" Target="https://sv.wikipedia.org/w/index.php?curid=8262785" TargetMode="External"/><Relationship Id="rId297" Type="http://schemas.openxmlformats.org/officeDocument/2006/relationships/hyperlink" Target="https://sv.wikipedia.org/w/index.php?curid=8671667" TargetMode="External"/><Relationship Id="rId36" Type="http://schemas.openxmlformats.org/officeDocument/2006/relationships/hyperlink" Target="https://sv.wikipedia.org/w/index.php?curid=548951" TargetMode="External"/><Relationship Id="rId175" Type="http://schemas.openxmlformats.org/officeDocument/2006/relationships/hyperlink" Target="https://sv.wikipedia.org/w/index.php?curid=6690218" TargetMode="External"/><Relationship Id="rId296" Type="http://schemas.openxmlformats.org/officeDocument/2006/relationships/hyperlink" Target="https://sv.wikipedia.org/w/index.php?curid=8668912" TargetMode="External"/><Relationship Id="rId39" Type="http://schemas.openxmlformats.org/officeDocument/2006/relationships/hyperlink" Target="https://sv.wikipedia.org/w/index.php?curid=730846" TargetMode="External"/><Relationship Id="rId174" Type="http://schemas.openxmlformats.org/officeDocument/2006/relationships/hyperlink" Target="https://sv.wikipedia.org/w/index.php?curid=1532050" TargetMode="External"/><Relationship Id="rId295" Type="http://schemas.openxmlformats.org/officeDocument/2006/relationships/hyperlink" Target="https://sv.wikipedia.org/w/index.php?curid=1707508" TargetMode="External"/><Relationship Id="rId38" Type="http://schemas.openxmlformats.org/officeDocument/2006/relationships/hyperlink" Target="https://sv.wikipedia.org/w/index.php?curid=555335" TargetMode="External"/><Relationship Id="rId173" Type="http://schemas.openxmlformats.org/officeDocument/2006/relationships/hyperlink" Target="https://sv.wikipedia.org/w/index.php?curid=778125" TargetMode="External"/><Relationship Id="rId294" Type="http://schemas.openxmlformats.org/officeDocument/2006/relationships/hyperlink" Target="https://sv.wikipedia.org/w/index.php?curid=8464527" TargetMode="External"/><Relationship Id="rId179" Type="http://schemas.openxmlformats.org/officeDocument/2006/relationships/hyperlink" Target="https://sv.wikipedia.org/w/index.php?curid=8129174" TargetMode="External"/><Relationship Id="rId178" Type="http://schemas.openxmlformats.org/officeDocument/2006/relationships/hyperlink" Target="https://sv.wikipedia.org/w/index.php?curid=1059430" TargetMode="External"/><Relationship Id="rId299" Type="http://schemas.openxmlformats.org/officeDocument/2006/relationships/hyperlink" Target="https://sv.wikipedia.org/w/index.php?curid=4976587" TargetMode="External"/><Relationship Id="rId177" Type="http://schemas.openxmlformats.org/officeDocument/2006/relationships/hyperlink" Target="https://sv.wikipedia.org/w/index.php?curid=8049497" TargetMode="External"/><Relationship Id="rId298" Type="http://schemas.openxmlformats.org/officeDocument/2006/relationships/hyperlink" Target="https://sv.wikipedia.org/w/index.php?curid=4009289" TargetMode="External"/><Relationship Id="rId20" Type="http://schemas.openxmlformats.org/officeDocument/2006/relationships/hyperlink" Target="https://sv.wikipedia.org/w/index.php?curid=730807" TargetMode="External"/><Relationship Id="rId22" Type="http://schemas.openxmlformats.org/officeDocument/2006/relationships/hyperlink" Target="https://sv.wikipedia.org/w/index.php?curid=508160" TargetMode="External"/><Relationship Id="rId21" Type="http://schemas.openxmlformats.org/officeDocument/2006/relationships/hyperlink" Target="https://sv.wikipedia.org/w/index.php?curid=510799" TargetMode="External"/><Relationship Id="rId24" Type="http://schemas.openxmlformats.org/officeDocument/2006/relationships/hyperlink" Target="https://sv.wikipedia.org/w/index.php?curid=670572" TargetMode="External"/><Relationship Id="rId23" Type="http://schemas.openxmlformats.org/officeDocument/2006/relationships/hyperlink" Target="https://sv.wikipedia.org/w/index.php?curid=1020464" TargetMode="External"/><Relationship Id="rId26" Type="http://schemas.openxmlformats.org/officeDocument/2006/relationships/hyperlink" Target="https://sv.wikipedia.org/w/index.php?curid=925233" TargetMode="External"/><Relationship Id="rId25" Type="http://schemas.openxmlformats.org/officeDocument/2006/relationships/hyperlink" Target="https://sv.wikipedia.org/w/index.php?curid=727191" TargetMode="External"/><Relationship Id="rId28" Type="http://schemas.openxmlformats.org/officeDocument/2006/relationships/hyperlink" Target="https://sv.wikipedia.org/w/index.php?curid=555144" TargetMode="External"/><Relationship Id="rId27" Type="http://schemas.openxmlformats.org/officeDocument/2006/relationships/hyperlink" Target="https://sv.wikipedia.org/w/index.php?curid=454599" TargetMode="External"/><Relationship Id="rId29" Type="http://schemas.openxmlformats.org/officeDocument/2006/relationships/hyperlink" Target="https://sv.wikipedia.org/w/index.php?curid=1121314" TargetMode="External"/><Relationship Id="rId11" Type="http://schemas.openxmlformats.org/officeDocument/2006/relationships/hyperlink" Target="https://sv.wikipedia.org/w/index.php?curid=529107" TargetMode="External"/><Relationship Id="rId10" Type="http://schemas.openxmlformats.org/officeDocument/2006/relationships/hyperlink" Target="https://sv.wikipedia.org/w/index.php?curid=96743" TargetMode="External"/><Relationship Id="rId13" Type="http://schemas.openxmlformats.org/officeDocument/2006/relationships/hyperlink" Target="https://sv.wikipedia.org/w/index.php?curid=3966813" TargetMode="External"/><Relationship Id="rId12" Type="http://schemas.openxmlformats.org/officeDocument/2006/relationships/hyperlink" Target="https://sv.wikipedia.org/w/index.php?curid=730928" TargetMode="External"/><Relationship Id="rId15" Type="http://schemas.openxmlformats.org/officeDocument/2006/relationships/hyperlink" Target="https://sv.wikipedia.org/w/index.php?curid=1797406" TargetMode="External"/><Relationship Id="rId198" Type="http://schemas.openxmlformats.org/officeDocument/2006/relationships/hyperlink" Target="https://sv.wikipedia.org/w/index.php?curid=11592" TargetMode="External"/><Relationship Id="rId14" Type="http://schemas.openxmlformats.org/officeDocument/2006/relationships/hyperlink" Target="https://sv.wikipedia.org/w/index.php?curid=591398" TargetMode="External"/><Relationship Id="rId197" Type="http://schemas.openxmlformats.org/officeDocument/2006/relationships/hyperlink" Target="https://sv.wikipedia.org/w/index.php?curid=1024781" TargetMode="External"/><Relationship Id="rId17" Type="http://schemas.openxmlformats.org/officeDocument/2006/relationships/hyperlink" Target="https://sv.wikipedia.org/w/index.php?curid=546955" TargetMode="External"/><Relationship Id="rId196" Type="http://schemas.openxmlformats.org/officeDocument/2006/relationships/hyperlink" Target="https://sv.wikipedia.org/w/index.php?curid=1056190" TargetMode="External"/><Relationship Id="rId16" Type="http://schemas.openxmlformats.org/officeDocument/2006/relationships/hyperlink" Target="https://sv.wikipedia.org/w/index.php?curid=546876" TargetMode="External"/><Relationship Id="rId195" Type="http://schemas.openxmlformats.org/officeDocument/2006/relationships/hyperlink" Target="https://sv.wikipedia.org/w/index.php?curid=8065010" TargetMode="External"/><Relationship Id="rId19" Type="http://schemas.openxmlformats.org/officeDocument/2006/relationships/hyperlink" Target="https://sv.wikipedia.org/w/index.php?curid=727201" TargetMode="External"/><Relationship Id="rId18" Type="http://schemas.openxmlformats.org/officeDocument/2006/relationships/hyperlink" Target="https://sv.wikipedia.org/w/index.php?curid=454697" TargetMode="External"/><Relationship Id="rId199" Type="http://schemas.openxmlformats.org/officeDocument/2006/relationships/hyperlink" Target="https://sv.wikipedia.org/w/index.php?curid=4897128" TargetMode="External"/><Relationship Id="rId84" Type="http://schemas.openxmlformats.org/officeDocument/2006/relationships/hyperlink" Target="https://sv.wikipedia.org/w/index.php?curid=8241585" TargetMode="External"/><Relationship Id="rId83" Type="http://schemas.openxmlformats.org/officeDocument/2006/relationships/hyperlink" Target="https://sv.wikipedia.org/w/index.php?curid=11453" TargetMode="External"/><Relationship Id="rId86" Type="http://schemas.openxmlformats.org/officeDocument/2006/relationships/hyperlink" Target="https://sv.wikipedia.org/w/index.php?curid=677466" TargetMode="External"/><Relationship Id="rId85" Type="http://schemas.openxmlformats.org/officeDocument/2006/relationships/hyperlink" Target="https://sv.wikipedia.org/w/index.php?curid=1626920" TargetMode="External"/><Relationship Id="rId88" Type="http://schemas.openxmlformats.org/officeDocument/2006/relationships/hyperlink" Target="https://sv.wikipedia.org/w/index.php?curid=788" TargetMode="External"/><Relationship Id="rId150" Type="http://schemas.openxmlformats.org/officeDocument/2006/relationships/hyperlink" Target="https://sv.wikipedia.org/w/index.php?curid=3927952" TargetMode="External"/><Relationship Id="rId271" Type="http://schemas.openxmlformats.org/officeDocument/2006/relationships/hyperlink" Target="https://sv.wikipedia.org/w/index.php?curid=6232166" TargetMode="External"/><Relationship Id="rId87" Type="http://schemas.openxmlformats.org/officeDocument/2006/relationships/hyperlink" Target="https://sv.wikipedia.org/w/index.php?curid=1627563" TargetMode="External"/><Relationship Id="rId270" Type="http://schemas.openxmlformats.org/officeDocument/2006/relationships/hyperlink" Target="https://sv.wikipedia.org/w/index.php?curid=8181393" TargetMode="External"/><Relationship Id="rId89" Type="http://schemas.openxmlformats.org/officeDocument/2006/relationships/hyperlink" Target="https://sv.wikipedia.org/w/index.php?curid=145237" TargetMode="External"/><Relationship Id="rId80" Type="http://schemas.openxmlformats.org/officeDocument/2006/relationships/hyperlink" Target="https://sv.wikipedia.org/w/index.php?curid=1053862" TargetMode="External"/><Relationship Id="rId82" Type="http://schemas.openxmlformats.org/officeDocument/2006/relationships/hyperlink" Target="https://sv.wikipedia.org/w/index.php?curid=8107832" TargetMode="External"/><Relationship Id="rId81" Type="http://schemas.openxmlformats.org/officeDocument/2006/relationships/hyperlink" Target="https://sv.wikipedia.org/w/index.php?curid=1054307" TargetMode="External"/><Relationship Id="rId1" Type="http://schemas.openxmlformats.org/officeDocument/2006/relationships/hyperlink" Target="https://sv.wikipedia.org/w/index.php?curid=737301" TargetMode="External"/><Relationship Id="rId2" Type="http://schemas.openxmlformats.org/officeDocument/2006/relationships/hyperlink" Target="https://sv.wikipedia.org/w/index.php?curid=155659" TargetMode="External"/><Relationship Id="rId3" Type="http://schemas.openxmlformats.org/officeDocument/2006/relationships/hyperlink" Target="https://sv.wikipedia.org/w/index.php?curid=3938682" TargetMode="External"/><Relationship Id="rId149" Type="http://schemas.openxmlformats.org/officeDocument/2006/relationships/hyperlink" Target="https://sv.wikipedia.org/w/index.php?curid=1016145" TargetMode="External"/><Relationship Id="rId4" Type="http://schemas.openxmlformats.org/officeDocument/2006/relationships/hyperlink" Target="https://sv.wikipedia.org/w/index.php?curid=730347" TargetMode="External"/><Relationship Id="rId148" Type="http://schemas.openxmlformats.org/officeDocument/2006/relationships/hyperlink" Target="https://sv.wikipedia.org/w/index.php?curid=3920685" TargetMode="External"/><Relationship Id="rId269" Type="http://schemas.openxmlformats.org/officeDocument/2006/relationships/hyperlink" Target="https://sv.wikipedia.org/w/index.php?curid=8111190" TargetMode="External"/><Relationship Id="rId9" Type="http://schemas.openxmlformats.org/officeDocument/2006/relationships/hyperlink" Target="https://sv.wikipedia.org/w/index.php?curid=589788" TargetMode="External"/><Relationship Id="rId143" Type="http://schemas.openxmlformats.org/officeDocument/2006/relationships/hyperlink" Target="https://sv.wikipedia.org/w/index.php?curid=1628982" TargetMode="External"/><Relationship Id="rId264" Type="http://schemas.openxmlformats.org/officeDocument/2006/relationships/hyperlink" Target="https://sv.wikipedia.org/w/index.php?curid=1054480" TargetMode="External"/><Relationship Id="rId142" Type="http://schemas.openxmlformats.org/officeDocument/2006/relationships/hyperlink" Target="http://www.wikiks.se/wp-content/uploads/2017/04/Lind.pdf" TargetMode="External"/><Relationship Id="rId263" Type="http://schemas.openxmlformats.org/officeDocument/2006/relationships/hyperlink" Target="https://sv.wikipedia.org/w/index.php?curid=1024915" TargetMode="External"/><Relationship Id="rId141" Type="http://schemas.openxmlformats.org/officeDocument/2006/relationships/hyperlink" Target="https://sv.wikipedia.org/w/index.php?curid=3958979" TargetMode="External"/><Relationship Id="rId262" Type="http://schemas.openxmlformats.org/officeDocument/2006/relationships/hyperlink" Target="https://sv.wikipedia.org/w/index.php?curid=8253059" TargetMode="External"/><Relationship Id="rId140" Type="http://schemas.openxmlformats.org/officeDocument/2006/relationships/hyperlink" Target="https://sv.wikipedia.org/w/index.php?curid=6796885" TargetMode="External"/><Relationship Id="rId261" Type="http://schemas.openxmlformats.org/officeDocument/2006/relationships/hyperlink" Target="https://sv.wikipedia.org/w/index.php?curid=5062675" TargetMode="External"/><Relationship Id="rId5" Type="http://schemas.openxmlformats.org/officeDocument/2006/relationships/hyperlink" Target="https://sv.wikipedia.org/w/index.php?curid=668211" TargetMode="External"/><Relationship Id="rId147" Type="http://schemas.openxmlformats.org/officeDocument/2006/relationships/hyperlink" Target="https://sv.wikipedia.org/w/index.php?curid=1019151" TargetMode="External"/><Relationship Id="rId268" Type="http://schemas.openxmlformats.org/officeDocument/2006/relationships/hyperlink" Target="https://sv.wikipedia.org/w/index.php?curid=1053420" TargetMode="External"/><Relationship Id="rId6" Type="http://schemas.openxmlformats.org/officeDocument/2006/relationships/hyperlink" Target="https://sv.wikipedia.org/w/index.php?curid=434957" TargetMode="External"/><Relationship Id="rId146" Type="http://schemas.openxmlformats.org/officeDocument/2006/relationships/hyperlink" Target="https://sv.wikipedia.org/w/index.php?curid=162172" TargetMode="External"/><Relationship Id="rId267" Type="http://schemas.openxmlformats.org/officeDocument/2006/relationships/hyperlink" Target="https://sv.wikipedia.org/w/index.php?curid=1102640" TargetMode="External"/><Relationship Id="rId7" Type="http://schemas.openxmlformats.org/officeDocument/2006/relationships/hyperlink" Target="https://sv.wikipedia.org/w/index.php?curid=510711" TargetMode="External"/><Relationship Id="rId145" Type="http://schemas.openxmlformats.org/officeDocument/2006/relationships/hyperlink" Target="https://sv.wikipedia.org/w/index.php?curid=3929510" TargetMode="External"/><Relationship Id="rId266" Type="http://schemas.openxmlformats.org/officeDocument/2006/relationships/hyperlink" Target="https://sv.wikipedia.org/w/index.php?curid=985649" TargetMode="External"/><Relationship Id="rId8" Type="http://schemas.openxmlformats.org/officeDocument/2006/relationships/hyperlink" Target="https://sv.wikipedia.org/w/index.php?curid=508767" TargetMode="External"/><Relationship Id="rId144" Type="http://schemas.openxmlformats.org/officeDocument/2006/relationships/hyperlink" Target="https://sv.wikipedia.org/w/index.php?curid=1628935" TargetMode="External"/><Relationship Id="rId265" Type="http://schemas.openxmlformats.org/officeDocument/2006/relationships/hyperlink" Target="https://sv.wikipedia.org/w/index.php?curid=461464" TargetMode="External"/><Relationship Id="rId73" Type="http://schemas.openxmlformats.org/officeDocument/2006/relationships/hyperlink" Target="https://sv.wikipedia.org/w/index.php?curid=591474" TargetMode="External"/><Relationship Id="rId72" Type="http://schemas.openxmlformats.org/officeDocument/2006/relationships/hyperlink" Target="https://sv.wikipedia.org/w/index.php?curid=3946301" TargetMode="External"/><Relationship Id="rId75" Type="http://schemas.openxmlformats.org/officeDocument/2006/relationships/hyperlink" Target="https://sv.wikipedia.org/w/index.php?curid=1155886" TargetMode="External"/><Relationship Id="rId74" Type="http://schemas.openxmlformats.org/officeDocument/2006/relationships/hyperlink" Target="https://sv.wikipedia.org/w/index.php?curid=548907" TargetMode="External"/><Relationship Id="rId77" Type="http://schemas.openxmlformats.org/officeDocument/2006/relationships/hyperlink" Target="https://sv.wikipedia.org/w/index.php?curid=1063757" TargetMode="External"/><Relationship Id="rId260" Type="http://schemas.openxmlformats.org/officeDocument/2006/relationships/hyperlink" Target="https://elpais.com/diario/2005/10/11/agenda/1128981607_850215.html" TargetMode="External"/><Relationship Id="rId76" Type="http://schemas.openxmlformats.org/officeDocument/2006/relationships/hyperlink" Target="https://sv.wikipedia.org/w/index.php?curid=8343653" TargetMode="External"/><Relationship Id="rId79" Type="http://schemas.openxmlformats.org/officeDocument/2006/relationships/hyperlink" Target="https://sv.wikipedia.org/w/index.php?curid=1626930" TargetMode="External"/><Relationship Id="rId78" Type="http://schemas.openxmlformats.org/officeDocument/2006/relationships/hyperlink" Target="https://sv.wikipedia.org/w/index.php?curid=564506" TargetMode="External"/><Relationship Id="rId71" Type="http://schemas.openxmlformats.org/officeDocument/2006/relationships/hyperlink" Target="https://sv.wikipedia.org/w/index.php?curid=1027309" TargetMode="External"/><Relationship Id="rId70" Type="http://schemas.openxmlformats.org/officeDocument/2006/relationships/hyperlink" Target="https://sv.wikipedia.org/w/index.php?curid=1645777" TargetMode="External"/><Relationship Id="rId139" Type="http://schemas.openxmlformats.org/officeDocument/2006/relationships/hyperlink" Target="https://sv.wikipedia.org/w/index.php?curid=4887322" TargetMode="External"/><Relationship Id="rId138" Type="http://schemas.openxmlformats.org/officeDocument/2006/relationships/hyperlink" Target="https://sv.wikipedia.org/w/index.php?curid=1627848" TargetMode="External"/><Relationship Id="rId259" Type="http://schemas.openxmlformats.org/officeDocument/2006/relationships/hyperlink" Target="https://sv.wikipedia.org/w/index.php?curid=72478" TargetMode="External"/><Relationship Id="rId137" Type="http://schemas.openxmlformats.org/officeDocument/2006/relationships/hyperlink" Target="https://sv.wikipedia.org/w/index.php?curid=1251311" TargetMode="External"/><Relationship Id="rId258" Type="http://schemas.openxmlformats.org/officeDocument/2006/relationships/hyperlink" Target="https://genmedhist.eshg.org/fileadmin/content/website-layout/interviewees-attachments/Lindsten,%20Jan.pdf" TargetMode="External"/><Relationship Id="rId132" Type="http://schemas.openxmlformats.org/officeDocument/2006/relationships/hyperlink" Target="https://sv.wikipedia.org/w/index.php?curid=3950689" TargetMode="External"/><Relationship Id="rId253" Type="http://schemas.openxmlformats.org/officeDocument/2006/relationships/hyperlink" Target="https://sv.wikipedia.org/w/index.php?curid=4659560" TargetMode="External"/><Relationship Id="rId131" Type="http://schemas.openxmlformats.org/officeDocument/2006/relationships/hyperlink" Target="https://sv.wikipedia.org/w/index.php?curid=1212492" TargetMode="External"/><Relationship Id="rId252" Type="http://schemas.openxmlformats.org/officeDocument/2006/relationships/hyperlink" Target="https://prabook.com/web/marc_allan.bygdeman/152295" TargetMode="External"/><Relationship Id="rId130" Type="http://schemas.openxmlformats.org/officeDocument/2006/relationships/hyperlink" Target="https://sv.wikipedia.org/w/index.php?curid=1421102" TargetMode="External"/><Relationship Id="rId251" Type="http://schemas.openxmlformats.org/officeDocument/2006/relationships/hyperlink" Target="https://sv.wikipedia.org/w/index.php?curid=1628583" TargetMode="External"/><Relationship Id="rId250" Type="http://schemas.openxmlformats.org/officeDocument/2006/relationships/hyperlink" Target="https://sv.wikipedia.org/w/index.php?curid=8253042" TargetMode="External"/><Relationship Id="rId136" Type="http://schemas.openxmlformats.org/officeDocument/2006/relationships/hyperlink" Target="https://sv.wikipedia.org/w/index.php?curid=7169038" TargetMode="External"/><Relationship Id="rId257" Type="http://schemas.openxmlformats.org/officeDocument/2006/relationships/hyperlink" Target="https://sv.wikipedia.org/w/index.php?curid=1091036" TargetMode="External"/><Relationship Id="rId135" Type="http://schemas.openxmlformats.org/officeDocument/2006/relationships/hyperlink" Target="https://sv.wikipedia.org/w/index.php?curid=1088359" TargetMode="External"/><Relationship Id="rId256" Type="http://schemas.openxmlformats.org/officeDocument/2006/relationships/hyperlink" Target="https://sv.wikipedia.org/w/index.php?curid=8253575" TargetMode="External"/><Relationship Id="rId134" Type="http://schemas.openxmlformats.org/officeDocument/2006/relationships/hyperlink" Target="https://sv.wikipedia.org/w/index.php?curid=1628047" TargetMode="External"/><Relationship Id="rId255" Type="http://schemas.openxmlformats.org/officeDocument/2006/relationships/hyperlink" Target="https://sv.wikipedia.org/w/index.php?curid=110802" TargetMode="External"/><Relationship Id="rId133" Type="http://schemas.openxmlformats.org/officeDocument/2006/relationships/hyperlink" Target="https://sv.wikipedia.org/w/index.php?curid=8029484" TargetMode="External"/><Relationship Id="rId254" Type="http://schemas.openxmlformats.org/officeDocument/2006/relationships/hyperlink" Target="https://sv.wikipedia.org/w/index.php?curid=3920057" TargetMode="External"/><Relationship Id="rId62" Type="http://schemas.openxmlformats.org/officeDocument/2006/relationships/hyperlink" Target="https://sv.wikipedia.org/w/index.php?curid=1062904" TargetMode="External"/><Relationship Id="rId61" Type="http://schemas.openxmlformats.org/officeDocument/2006/relationships/hyperlink" Target="https://sv.wikipedia.org/w/index.php?curid=733738" TargetMode="External"/><Relationship Id="rId64" Type="http://schemas.openxmlformats.org/officeDocument/2006/relationships/hyperlink" Target="https://sv.wikipedia.org/w/index.php?curid=549094" TargetMode="External"/><Relationship Id="rId63" Type="http://schemas.openxmlformats.org/officeDocument/2006/relationships/hyperlink" Target="https://sv.wikipedia.org/w/index.php?curid=573556" TargetMode="External"/><Relationship Id="rId66" Type="http://schemas.openxmlformats.org/officeDocument/2006/relationships/hyperlink" Target="https://sv.wikipedia.org/w/index.php?curid=996366" TargetMode="External"/><Relationship Id="rId172" Type="http://schemas.openxmlformats.org/officeDocument/2006/relationships/hyperlink" Target="https://sv.wikipedia.org/w/index.php?curid=5001465" TargetMode="External"/><Relationship Id="rId293" Type="http://schemas.openxmlformats.org/officeDocument/2006/relationships/hyperlink" Target="https://sv.wikipedia.org/w/index.php?curid=8656814" TargetMode="External"/><Relationship Id="rId65" Type="http://schemas.openxmlformats.org/officeDocument/2006/relationships/hyperlink" Target="https://sv.wikipedia.org/w/index.php?curid=996072" TargetMode="External"/><Relationship Id="rId171" Type="http://schemas.openxmlformats.org/officeDocument/2006/relationships/hyperlink" Target="https://sv.wikipedia.org/w/index.php?curid=1058049" TargetMode="External"/><Relationship Id="rId292" Type="http://schemas.openxmlformats.org/officeDocument/2006/relationships/hyperlink" Target="https://sv.wikipedia.org/w/index.php?curid=8664099" TargetMode="External"/><Relationship Id="rId68" Type="http://schemas.openxmlformats.org/officeDocument/2006/relationships/hyperlink" Target="https://sv.wikipedia.org/w/index.php?curid=1121985" TargetMode="External"/><Relationship Id="rId170" Type="http://schemas.openxmlformats.org/officeDocument/2006/relationships/hyperlink" Target="https://sv.wikipedia.org/w/index.php?curid=1058986" TargetMode="External"/><Relationship Id="rId291" Type="http://schemas.openxmlformats.org/officeDocument/2006/relationships/hyperlink" Target="https://sv.wikipedia.org/w/index.php?curid=8437129" TargetMode="External"/><Relationship Id="rId67" Type="http://schemas.openxmlformats.org/officeDocument/2006/relationships/hyperlink" Target="https://sv.wikipedia.org/w/index.php?curid=1133356" TargetMode="External"/><Relationship Id="rId290" Type="http://schemas.openxmlformats.org/officeDocument/2006/relationships/hyperlink" Target="https://sv.wikipedia.org/w/index.php?curid=8594777" TargetMode="External"/><Relationship Id="rId60" Type="http://schemas.openxmlformats.org/officeDocument/2006/relationships/hyperlink" Target="https://sv.wikipedia.org/w/index.php?curid=297200" TargetMode="External"/><Relationship Id="rId165" Type="http://schemas.openxmlformats.org/officeDocument/2006/relationships/hyperlink" Target="https://sv.wikipedia.org/w/index.php?curid=1116972" TargetMode="External"/><Relationship Id="rId286" Type="http://schemas.openxmlformats.org/officeDocument/2006/relationships/hyperlink" Target="https://sv.wikipedia.org/w/index.php?curid=8657079" TargetMode="External"/><Relationship Id="rId69" Type="http://schemas.openxmlformats.org/officeDocument/2006/relationships/hyperlink" Target="https://sv.wikipedia.org/w/index.php?curid=555152" TargetMode="External"/><Relationship Id="rId164" Type="http://schemas.openxmlformats.org/officeDocument/2006/relationships/hyperlink" Target="https://sv.wikipedia.org/w/index.php?curid=6679718" TargetMode="External"/><Relationship Id="rId285" Type="http://schemas.openxmlformats.org/officeDocument/2006/relationships/hyperlink" Target="https://sv.wikipedia.org/w/index.php?curid=8368836" TargetMode="External"/><Relationship Id="rId163" Type="http://schemas.openxmlformats.org/officeDocument/2006/relationships/hyperlink" Target="https://sv.wikipedia.org/w/index.php?curid=890747" TargetMode="External"/><Relationship Id="rId284" Type="http://schemas.openxmlformats.org/officeDocument/2006/relationships/hyperlink" Target="https://sv.wikipedia.org/w/index.php?curid=3901193" TargetMode="External"/><Relationship Id="rId162" Type="http://schemas.openxmlformats.org/officeDocument/2006/relationships/hyperlink" Target="https://sv.wikipedia.org/w/index.php?curid=8371322" TargetMode="External"/><Relationship Id="rId283" Type="http://schemas.openxmlformats.org/officeDocument/2006/relationships/hyperlink" Target="https://sv.wikipedia.org/w/index.php?curid=1018940" TargetMode="External"/><Relationship Id="rId169" Type="http://schemas.openxmlformats.org/officeDocument/2006/relationships/hyperlink" Target="https://sv.wikipedia.org/w/index.php?curid=1152199" TargetMode="External"/><Relationship Id="rId168" Type="http://schemas.openxmlformats.org/officeDocument/2006/relationships/hyperlink" Target="https://sv.wikipedia.org/w/index.php?curid=1653571" TargetMode="External"/><Relationship Id="rId289" Type="http://schemas.openxmlformats.org/officeDocument/2006/relationships/hyperlink" Target="https://sv.wikipedia.org/w/index.php?curid=8669912" TargetMode="External"/><Relationship Id="rId167" Type="http://schemas.openxmlformats.org/officeDocument/2006/relationships/hyperlink" Target="https://sv.wikipedia.org/w/index.php?curid=1121245" TargetMode="External"/><Relationship Id="rId288" Type="http://schemas.openxmlformats.org/officeDocument/2006/relationships/hyperlink" Target="https://sv.wikipedia.org/w/index.php?curid=8677383" TargetMode="External"/><Relationship Id="rId166" Type="http://schemas.openxmlformats.org/officeDocument/2006/relationships/hyperlink" Target="https://sv.wikipedia.org/w/index.php?curid=74383" TargetMode="External"/><Relationship Id="rId287" Type="http://schemas.openxmlformats.org/officeDocument/2006/relationships/hyperlink" Target="https://sv.wikipedia.org/w/index.php?curid=8549834" TargetMode="External"/><Relationship Id="rId51" Type="http://schemas.openxmlformats.org/officeDocument/2006/relationships/hyperlink" Target="https://sv.wikipedia.org/w/index.php?curid=512977" TargetMode="External"/><Relationship Id="rId50" Type="http://schemas.openxmlformats.org/officeDocument/2006/relationships/hyperlink" Target="https://sv.wikipedia.org/w/index.php?curid=1117307" TargetMode="External"/><Relationship Id="rId53" Type="http://schemas.openxmlformats.org/officeDocument/2006/relationships/hyperlink" Target="https://sv.wikipedia.org/w/index.php?curid=7182320" TargetMode="External"/><Relationship Id="rId52" Type="http://schemas.openxmlformats.org/officeDocument/2006/relationships/hyperlink" Target="https://sv.wikipedia.org/w/index.php?curid=4121847" TargetMode="External"/><Relationship Id="rId55" Type="http://schemas.openxmlformats.org/officeDocument/2006/relationships/hyperlink" Target="https://sv.wikipedia.org/w/index.php?curid=305508" TargetMode="External"/><Relationship Id="rId161" Type="http://schemas.openxmlformats.org/officeDocument/2006/relationships/hyperlink" Target="https://sv.wikipedia.org/w/index.php?curid=8181252" TargetMode="External"/><Relationship Id="rId282" Type="http://schemas.openxmlformats.org/officeDocument/2006/relationships/hyperlink" Target="https://sv.wikipedia.org/w/index.php?curid=6663706" TargetMode="External"/><Relationship Id="rId54" Type="http://schemas.openxmlformats.org/officeDocument/2006/relationships/hyperlink" Target="https://sv.wikipedia.org/w/index.php?curid=3977884" TargetMode="External"/><Relationship Id="rId160" Type="http://schemas.openxmlformats.org/officeDocument/2006/relationships/hyperlink" Target="https://sv.wikipedia.org/w/index.php?curid=8275162" TargetMode="External"/><Relationship Id="rId281" Type="http://schemas.openxmlformats.org/officeDocument/2006/relationships/hyperlink" Target="https://sv.wikipedia.org/w/index.php?curid=8059047" TargetMode="External"/><Relationship Id="rId57" Type="http://schemas.openxmlformats.org/officeDocument/2006/relationships/hyperlink" Target="https://sv.wikipedia.org/w/index.php?curid=1461258" TargetMode="External"/><Relationship Id="rId280" Type="http://schemas.openxmlformats.org/officeDocument/2006/relationships/hyperlink" Target="https://sv.wikipedia.org/w/index.php?curid=1099976" TargetMode="External"/><Relationship Id="rId56" Type="http://schemas.openxmlformats.org/officeDocument/2006/relationships/hyperlink" Target="https://sv.wikipedia.org/w/index.php?curid=1066851" TargetMode="External"/><Relationship Id="rId159" Type="http://schemas.openxmlformats.org/officeDocument/2006/relationships/hyperlink" Target="https://sv.wikipedia.org/w/index.php?curid=1061590" TargetMode="External"/><Relationship Id="rId59" Type="http://schemas.openxmlformats.org/officeDocument/2006/relationships/hyperlink" Target="https://sv.wikipedia.org/w/index.php?curid=7180401" TargetMode="External"/><Relationship Id="rId154" Type="http://schemas.openxmlformats.org/officeDocument/2006/relationships/hyperlink" Target="https://sv.wikipedia.org/w/index.php?curid=1089726" TargetMode="External"/><Relationship Id="rId275" Type="http://schemas.openxmlformats.org/officeDocument/2006/relationships/hyperlink" Target="https://sv.wikipedia.org/w/index.php?curid=8372439" TargetMode="External"/><Relationship Id="rId58" Type="http://schemas.openxmlformats.org/officeDocument/2006/relationships/hyperlink" Target="https://sv.wikipedia.org/w/index.php?curid=1142987" TargetMode="External"/><Relationship Id="rId153" Type="http://schemas.openxmlformats.org/officeDocument/2006/relationships/hyperlink" Target="https://sv.wikipedia.org/w/index.php?curid=3972336" TargetMode="External"/><Relationship Id="rId274" Type="http://schemas.openxmlformats.org/officeDocument/2006/relationships/hyperlink" Target="https://sv.wikipedia.org/w/index.php?curid=1155698" TargetMode="External"/><Relationship Id="rId152" Type="http://schemas.openxmlformats.org/officeDocument/2006/relationships/hyperlink" Target="https://sv.wikipedia.org/w/index.php?curid=8419112" TargetMode="External"/><Relationship Id="rId273" Type="http://schemas.openxmlformats.org/officeDocument/2006/relationships/hyperlink" Target="https://sv.wikipedia.org/w/index.php?curid=1092066" TargetMode="External"/><Relationship Id="rId151" Type="http://schemas.openxmlformats.org/officeDocument/2006/relationships/hyperlink" Target="https://sv.wikipedia.org/w/index.php?curid=1627814" TargetMode="External"/><Relationship Id="rId272" Type="http://schemas.openxmlformats.org/officeDocument/2006/relationships/hyperlink" Target="https://sv.wikipedia.org/w/index.php?curid=1381814" TargetMode="External"/><Relationship Id="rId158" Type="http://schemas.openxmlformats.org/officeDocument/2006/relationships/hyperlink" Target="https://sv.wikipedia.org/w/index.php?curid=1016776" TargetMode="External"/><Relationship Id="rId279" Type="http://schemas.openxmlformats.org/officeDocument/2006/relationships/hyperlink" Target="https://sv.wikipedia.org/w/index.php?curid=8365677" TargetMode="External"/><Relationship Id="rId157" Type="http://schemas.openxmlformats.org/officeDocument/2006/relationships/hyperlink" Target="https://sv.wikipedia.org/w/index.php?curid=1016141" TargetMode="External"/><Relationship Id="rId278" Type="http://schemas.openxmlformats.org/officeDocument/2006/relationships/hyperlink" Target="https://sv.wikipedia.org/w/index.php?curid=985660" TargetMode="External"/><Relationship Id="rId156" Type="http://schemas.openxmlformats.org/officeDocument/2006/relationships/hyperlink" Target="https://sv.wikipedia.org/w/index.php?curid=8277251" TargetMode="External"/><Relationship Id="rId277" Type="http://schemas.openxmlformats.org/officeDocument/2006/relationships/hyperlink" Target="https://sv.wikipedia.org/w/index.php?curid=8111218" TargetMode="External"/><Relationship Id="rId155" Type="http://schemas.openxmlformats.org/officeDocument/2006/relationships/hyperlink" Target="https://sv.wikipedia.org/w/index.php?curid=847478" TargetMode="External"/><Relationship Id="rId276" Type="http://schemas.openxmlformats.org/officeDocument/2006/relationships/hyperlink" Target="https://sv.wikipedia.org/w/index.php?curid=829468" TargetMode="External"/><Relationship Id="rId107" Type="http://schemas.openxmlformats.org/officeDocument/2006/relationships/hyperlink" Target="https://sv.wikipedia.org/w/index.php?curid=6723358" TargetMode="External"/><Relationship Id="rId228" Type="http://schemas.openxmlformats.org/officeDocument/2006/relationships/hyperlink" Target="https://sv.wikipedia.org/w/index.php?curid=3968867" TargetMode="External"/><Relationship Id="rId106" Type="http://schemas.openxmlformats.org/officeDocument/2006/relationships/hyperlink" Target="https://sv.wikipedia.org/w/index.php?curid=825801" TargetMode="External"/><Relationship Id="rId227" Type="http://schemas.openxmlformats.org/officeDocument/2006/relationships/hyperlink" Target="https://sv.wikipedia.org/w/index.php?curid=1098344" TargetMode="External"/><Relationship Id="rId105" Type="http://schemas.openxmlformats.org/officeDocument/2006/relationships/hyperlink" Target="https://sv.wikipedia.org/w/index.php?curid=1016133" TargetMode="External"/><Relationship Id="rId226" Type="http://schemas.openxmlformats.org/officeDocument/2006/relationships/hyperlink" Target="https://sv.wikipedia.org/w/index.php?curid=1098344" TargetMode="External"/><Relationship Id="rId104" Type="http://schemas.openxmlformats.org/officeDocument/2006/relationships/hyperlink" Target="https://sv.wikipedia.org/w/index.php?curid=1630293" TargetMode="External"/><Relationship Id="rId225" Type="http://schemas.openxmlformats.org/officeDocument/2006/relationships/hyperlink" Target="https://sv.wikipedia.org/wiki/Ume%C3%A5_universitet" TargetMode="External"/><Relationship Id="rId109" Type="http://schemas.openxmlformats.org/officeDocument/2006/relationships/hyperlink" Target="https://sv.wikipedia.org/w/index.php?curid=292927" TargetMode="External"/><Relationship Id="rId108" Type="http://schemas.openxmlformats.org/officeDocument/2006/relationships/hyperlink" Target="https://sv.wikipedia.org/w/index.php?curid=3923895" TargetMode="External"/><Relationship Id="rId229" Type="http://schemas.openxmlformats.org/officeDocument/2006/relationships/hyperlink" Target="https://sv.wikipedia.org/w/index.php?curid=506637" TargetMode="External"/><Relationship Id="rId220" Type="http://schemas.openxmlformats.org/officeDocument/2006/relationships/hyperlink" Target="https://sv.wikipedia.org/w/index.php?curid=1093067" TargetMode="External"/><Relationship Id="rId103" Type="http://schemas.openxmlformats.org/officeDocument/2006/relationships/hyperlink" Target="https://sv.wikipedia.org/w/index.php?curid=8033351" TargetMode="External"/><Relationship Id="rId224" Type="http://schemas.openxmlformats.org/officeDocument/2006/relationships/hyperlink" Target="https://sv.wikipedia.org/w/index.php?curid=8274858" TargetMode="External"/><Relationship Id="rId102" Type="http://schemas.openxmlformats.org/officeDocument/2006/relationships/hyperlink" Target="https://sv.wikipedia.org/w/index.php?curid=666582" TargetMode="External"/><Relationship Id="rId223" Type="http://schemas.openxmlformats.org/officeDocument/2006/relationships/hyperlink" Target="https://sv.wikipedia.org/w/index.php?curid=1036810" TargetMode="External"/><Relationship Id="rId101" Type="http://schemas.openxmlformats.org/officeDocument/2006/relationships/hyperlink" Target="https://sv.wikipedia.org/w/index.php?curid=1016242" TargetMode="External"/><Relationship Id="rId222" Type="http://schemas.openxmlformats.org/officeDocument/2006/relationships/hyperlink" Target="https://sv.wikipedia.org/w/index.php?curid=1056346" TargetMode="External"/><Relationship Id="rId100" Type="http://schemas.openxmlformats.org/officeDocument/2006/relationships/hyperlink" Target="https://sv.wikipedia.org/w/index.php?curid=1121216" TargetMode="External"/><Relationship Id="rId221" Type="http://schemas.openxmlformats.org/officeDocument/2006/relationships/hyperlink" Target="https://sv.wikipedia.org/w/index.php?curid=2480325" TargetMode="External"/><Relationship Id="rId217" Type="http://schemas.openxmlformats.org/officeDocument/2006/relationships/hyperlink" Target="https://sv.wikipedia.org/w/index.php?curid=6049354" TargetMode="External"/><Relationship Id="rId216" Type="http://schemas.openxmlformats.org/officeDocument/2006/relationships/hyperlink" Target="https://sv.wikipedia.org/w/index.php?curid=10118" TargetMode="External"/><Relationship Id="rId215" Type="http://schemas.openxmlformats.org/officeDocument/2006/relationships/hyperlink" Target="https://sv.wikipedia.org/w/index.php?curid=1047323" TargetMode="External"/><Relationship Id="rId214" Type="http://schemas.openxmlformats.org/officeDocument/2006/relationships/hyperlink" Target="https://en.wikipedia.org/wiki/Jerzy_Einhorn" TargetMode="External"/><Relationship Id="rId219" Type="http://schemas.openxmlformats.org/officeDocument/2006/relationships/hyperlink" Target="https://sv.wikipedia.org/w/index.php?curid=2480568" TargetMode="External"/><Relationship Id="rId218" Type="http://schemas.openxmlformats.org/officeDocument/2006/relationships/hyperlink" Target="https://sv.wikipedia.org/wiki/G%C3%B6teborgs_universitet" TargetMode="External"/><Relationship Id="rId213" Type="http://schemas.openxmlformats.org/officeDocument/2006/relationships/hyperlink" Target="https://sv.wikipedia.org/w/index.php?curid=72110" TargetMode="External"/><Relationship Id="rId212" Type="http://schemas.openxmlformats.org/officeDocument/2006/relationships/hyperlink" Target="https://sv.wikipedia.org/w/index.php?curid=3921276" TargetMode="External"/><Relationship Id="rId211" Type="http://schemas.openxmlformats.org/officeDocument/2006/relationships/hyperlink" Target="https://sv.wikipedia.org/w/index.php?curid=1481683" TargetMode="External"/><Relationship Id="rId210" Type="http://schemas.openxmlformats.org/officeDocument/2006/relationships/hyperlink" Target="https://sv.wikipedia.org/w/index.php?curid=1028422" TargetMode="External"/><Relationship Id="rId129" Type="http://schemas.openxmlformats.org/officeDocument/2006/relationships/hyperlink" Target="https://sv.wikipedia.org/w/index.php?curid=3887207" TargetMode="External"/><Relationship Id="rId128" Type="http://schemas.openxmlformats.org/officeDocument/2006/relationships/hyperlink" Target="https://sv.wikipedia.org/w/index.php?curid=8183758" TargetMode="External"/><Relationship Id="rId249" Type="http://schemas.openxmlformats.org/officeDocument/2006/relationships/hyperlink" Target="https://sv.wikipedia.org/w/index.php?curid=178629" TargetMode="External"/><Relationship Id="rId127" Type="http://schemas.openxmlformats.org/officeDocument/2006/relationships/hyperlink" Target="https://sv.wikipedia.org/w/index.php?curid=4918851" TargetMode="External"/><Relationship Id="rId248" Type="http://schemas.openxmlformats.org/officeDocument/2006/relationships/hyperlink" Target="https://sv.wikipedia.org/w/index.php?curid=1117353" TargetMode="External"/><Relationship Id="rId126" Type="http://schemas.openxmlformats.org/officeDocument/2006/relationships/hyperlink" Target="https://sv.wikipedia.org/w/index.php?curid=1541033" TargetMode="External"/><Relationship Id="rId247" Type="http://schemas.openxmlformats.org/officeDocument/2006/relationships/hyperlink" Target="https://sv.wikipedia.org/w/index.php?curid=1657789" TargetMode="External"/><Relationship Id="rId121" Type="http://schemas.openxmlformats.org/officeDocument/2006/relationships/hyperlink" Target="https://sv.wikipedia.org/w/index.php?curid=1037853" TargetMode="External"/><Relationship Id="rId242" Type="http://schemas.openxmlformats.org/officeDocument/2006/relationships/hyperlink" Target="https://sv.wikipedia.org/w/index.php?curid=581325" TargetMode="External"/><Relationship Id="rId120" Type="http://schemas.openxmlformats.org/officeDocument/2006/relationships/hyperlink" Target="https://sv.wikipedia.org/w/index.php?curid=1627865" TargetMode="External"/><Relationship Id="rId241" Type="http://schemas.openxmlformats.org/officeDocument/2006/relationships/hyperlink" Target="https://prabook.com/web/bjorn_mortimer.tengroth/148945" TargetMode="External"/><Relationship Id="rId240" Type="http://schemas.openxmlformats.org/officeDocument/2006/relationships/hyperlink" Target="https://sv.wikipedia.org/w/index.php?curid=1142760" TargetMode="External"/><Relationship Id="rId125" Type="http://schemas.openxmlformats.org/officeDocument/2006/relationships/hyperlink" Target="https://sv.wikipedia.org/w/index.php?curid=1055861" TargetMode="External"/><Relationship Id="rId246" Type="http://schemas.openxmlformats.org/officeDocument/2006/relationships/hyperlink" Target="https://sv.wikipedia.org/w/index.php?curid=1054884" TargetMode="External"/><Relationship Id="rId124" Type="http://schemas.openxmlformats.org/officeDocument/2006/relationships/hyperlink" Target="https://sv.wikipedia.org/w/index.php?curid=1105745" TargetMode="External"/><Relationship Id="rId245" Type="http://schemas.openxmlformats.org/officeDocument/2006/relationships/hyperlink" Target="https://sv.wikipedia.org/w/index.php?curid=3920573" TargetMode="External"/><Relationship Id="rId123" Type="http://schemas.openxmlformats.org/officeDocument/2006/relationships/hyperlink" Target="https://sv.wikipedia.org/w/index.php?curid=455078" TargetMode="External"/><Relationship Id="rId244" Type="http://schemas.openxmlformats.org/officeDocument/2006/relationships/hyperlink" Target="https://sv.wikipedia.org/w/index.php?curid=2791610" TargetMode="External"/><Relationship Id="rId122" Type="http://schemas.openxmlformats.org/officeDocument/2006/relationships/hyperlink" Target="https://sv.wikipedia.org/w/index.php?curid=3710967" TargetMode="External"/><Relationship Id="rId243" Type="http://schemas.openxmlformats.org/officeDocument/2006/relationships/hyperlink" Target="https://sv.wikipedia.org/w/index.php?curid=2791610" TargetMode="External"/><Relationship Id="rId95" Type="http://schemas.openxmlformats.org/officeDocument/2006/relationships/hyperlink" Target="https://sv.wikipedia.org/w/index.php?curid=1626048" TargetMode="External"/><Relationship Id="rId94" Type="http://schemas.openxmlformats.org/officeDocument/2006/relationships/hyperlink" Target="https://sv.wikipedia.org/w/index.php?curid=4948710" TargetMode="External"/><Relationship Id="rId97" Type="http://schemas.openxmlformats.org/officeDocument/2006/relationships/hyperlink" Target="https://sv.wikipedia.org/w/index.php?curid=8236943" TargetMode="External"/><Relationship Id="rId96" Type="http://schemas.openxmlformats.org/officeDocument/2006/relationships/hyperlink" Target="https://sv.wikipedia.org/w/index.php?curid=1031257" TargetMode="External"/><Relationship Id="rId99" Type="http://schemas.openxmlformats.org/officeDocument/2006/relationships/hyperlink" Target="https://sv.wikipedia.org/w/index.php?curid=3921324" TargetMode="External"/><Relationship Id="rId98" Type="http://schemas.openxmlformats.org/officeDocument/2006/relationships/hyperlink" Target="https://sv.wikipedia.org/w/index.php?curid=830105" TargetMode="External"/><Relationship Id="rId91" Type="http://schemas.openxmlformats.org/officeDocument/2006/relationships/hyperlink" Target="https://sv.wikipedia.org/w/index.php?curid=6791506" TargetMode="External"/><Relationship Id="rId90" Type="http://schemas.openxmlformats.org/officeDocument/2006/relationships/hyperlink" Target="https://sv.wikipedia.org/w/index.php?curid=8159293" TargetMode="External"/><Relationship Id="rId93" Type="http://schemas.openxmlformats.org/officeDocument/2006/relationships/hyperlink" Target="https://sv.wikipedia.org/w/index.php?curid=6678164" TargetMode="External"/><Relationship Id="rId92" Type="http://schemas.openxmlformats.org/officeDocument/2006/relationships/hyperlink" Target="https://sv.wikipedia.org/w/index.php?curid=3900266" TargetMode="External"/><Relationship Id="rId118" Type="http://schemas.openxmlformats.org/officeDocument/2006/relationships/hyperlink" Target="https://sv.wikipedia.org/w/index.php?curid=10107" TargetMode="External"/><Relationship Id="rId239" Type="http://schemas.openxmlformats.org/officeDocument/2006/relationships/hyperlink" Target="https://sv.wikipedia.org/w/index.php?curid=621158" TargetMode="External"/><Relationship Id="rId117" Type="http://schemas.openxmlformats.org/officeDocument/2006/relationships/hyperlink" Target="https://sv.wikipedia.org/w/index.php?curid=1213656" TargetMode="External"/><Relationship Id="rId238" Type="http://schemas.openxmlformats.org/officeDocument/2006/relationships/hyperlink" Target="https://sv.wikipedia.org/w/index.php?curid=621158" TargetMode="External"/><Relationship Id="rId116" Type="http://schemas.openxmlformats.org/officeDocument/2006/relationships/hyperlink" Target="https://sv.wikipedia.org/w/index.php?curid=1650965" TargetMode="External"/><Relationship Id="rId237" Type="http://schemas.openxmlformats.org/officeDocument/2006/relationships/hyperlink" Target="https://sv.wikipedia.org/w/index.php?curid=3920654" TargetMode="External"/><Relationship Id="rId115" Type="http://schemas.openxmlformats.org/officeDocument/2006/relationships/hyperlink" Target="https://sv.wikipedia.org/w/index.php?curid=6788430" TargetMode="External"/><Relationship Id="rId236" Type="http://schemas.openxmlformats.org/officeDocument/2006/relationships/hyperlink" Target="https://sv.wikipedia.org/w/index.php?curid=3920654" TargetMode="External"/><Relationship Id="rId119" Type="http://schemas.openxmlformats.org/officeDocument/2006/relationships/hyperlink" Target="https://sv.wikipedia.org/w/index.php?curid=1629157" TargetMode="External"/><Relationship Id="rId110" Type="http://schemas.openxmlformats.org/officeDocument/2006/relationships/hyperlink" Target="https://sv.wikipedia.org/w/index.php?curid=6727047" TargetMode="External"/><Relationship Id="rId231" Type="http://schemas.openxmlformats.org/officeDocument/2006/relationships/hyperlink" Target="https://sv.wikipedia.org/w/index.php?curid=486096" TargetMode="External"/><Relationship Id="rId230" Type="http://schemas.openxmlformats.org/officeDocument/2006/relationships/hyperlink" Target="https://sv.wikipedia.org/w/index.php?curid=506637" TargetMode="External"/><Relationship Id="rId114" Type="http://schemas.openxmlformats.org/officeDocument/2006/relationships/hyperlink" Target="https://sv.wikipedia.org/w/index.php?curid=1193636" TargetMode="External"/><Relationship Id="rId235" Type="http://schemas.openxmlformats.org/officeDocument/2006/relationships/hyperlink" Target="https://www.ncbi.nlm.nih.gov/pmc/articles/PMC4256786/" TargetMode="External"/><Relationship Id="rId113" Type="http://schemas.openxmlformats.org/officeDocument/2006/relationships/hyperlink" Target="https://sv.wikipedia.org/w/index.php?curid=3921039" TargetMode="External"/><Relationship Id="rId234" Type="http://schemas.openxmlformats.org/officeDocument/2006/relationships/hyperlink" Target="https://sv.wikipedia.org/w/index.php?curid=1093666" TargetMode="External"/><Relationship Id="rId112" Type="http://schemas.openxmlformats.org/officeDocument/2006/relationships/hyperlink" Target="https://sv.wikipedia.org/w/index.php?curid=1452803" TargetMode="External"/><Relationship Id="rId233" Type="http://schemas.openxmlformats.org/officeDocument/2006/relationships/hyperlink" Target="https://sv.wikipedia.org/w/index.php?curid=4896974" TargetMode="External"/><Relationship Id="rId111" Type="http://schemas.openxmlformats.org/officeDocument/2006/relationships/hyperlink" Target="https://sv.wikipedia.org/w/index.php?curid=7170000" TargetMode="External"/><Relationship Id="rId232" Type="http://schemas.openxmlformats.org/officeDocument/2006/relationships/hyperlink" Target="https://sv.wikipedia.org/wiki/%C3%96verbibliotekarie" TargetMode="External"/><Relationship Id="rId305" Type="http://schemas.openxmlformats.org/officeDocument/2006/relationships/hyperlink" Target="https://sv.wikipedia.org/w/index.php?curid=8458413" TargetMode="External"/><Relationship Id="rId304" Type="http://schemas.openxmlformats.org/officeDocument/2006/relationships/hyperlink" Target="https://sv.wikipedia.org/w/index.php?curid=8504549" TargetMode="External"/><Relationship Id="rId303" Type="http://schemas.openxmlformats.org/officeDocument/2006/relationships/hyperlink" Target="https://sv.wikipedia.org/w/index.php?curid=8368316" TargetMode="External"/><Relationship Id="rId302" Type="http://schemas.openxmlformats.org/officeDocument/2006/relationships/hyperlink" Target="https://sv.wikipedia.org/w/index.php?curid=8453697" TargetMode="External"/><Relationship Id="rId309" Type="http://schemas.openxmlformats.org/officeDocument/2006/relationships/hyperlink" Target="https://sv.wikipedia.org/w/index.php?curid=8044664" TargetMode="External"/><Relationship Id="rId308" Type="http://schemas.openxmlformats.org/officeDocument/2006/relationships/hyperlink" Target="https://sv.wikipedia.org/w/index.php?curid=8533126" TargetMode="External"/><Relationship Id="rId307" Type="http://schemas.openxmlformats.org/officeDocument/2006/relationships/hyperlink" Target="https://sv.wikipedia.org/w/index.php?curid=8585315" TargetMode="External"/><Relationship Id="rId306" Type="http://schemas.openxmlformats.org/officeDocument/2006/relationships/hyperlink" Target="https://sv.wikipedia.org/w/index.php?curid=8672662" TargetMode="External"/><Relationship Id="rId301" Type="http://schemas.openxmlformats.org/officeDocument/2006/relationships/hyperlink" Target="https://sv.wikipedia.org/w/index.php?curid=8580830" TargetMode="External"/><Relationship Id="rId300" Type="http://schemas.openxmlformats.org/officeDocument/2006/relationships/hyperlink" Target="https://sv.wikipedia.org/w/index.php?curid=8550157" TargetMode="External"/><Relationship Id="rId206" Type="http://schemas.openxmlformats.org/officeDocument/2006/relationships/hyperlink" Target="https://sv.wikipedia.org/w/index.php?curid=3924000" TargetMode="External"/><Relationship Id="rId205" Type="http://schemas.openxmlformats.org/officeDocument/2006/relationships/hyperlink" Target="https://sv.wikipedia.org/w/index.php?curid=551679" TargetMode="External"/><Relationship Id="rId204" Type="http://schemas.openxmlformats.org/officeDocument/2006/relationships/hyperlink" Target="https://regulatorypeptidehome.wordpress.com/viktor-mutt-1923-1998/" TargetMode="External"/><Relationship Id="rId203" Type="http://schemas.openxmlformats.org/officeDocument/2006/relationships/hyperlink" Target="https://sv.wikipedia.org/w/index.php?curid=1093054" TargetMode="External"/><Relationship Id="rId209" Type="http://schemas.openxmlformats.org/officeDocument/2006/relationships/hyperlink" Target="https://sv.wikipedia.org/w/index.php?curid=1028422" TargetMode="External"/><Relationship Id="rId208" Type="http://schemas.openxmlformats.org/officeDocument/2006/relationships/hyperlink" Target="https://sv.wikipedia.org/w/index.php?curid=1639506" TargetMode="External"/><Relationship Id="rId207" Type="http://schemas.openxmlformats.org/officeDocument/2006/relationships/hyperlink" Target="https://sv.wikipedia.org/w/index.php?curid=1181892" TargetMode="External"/><Relationship Id="rId202" Type="http://schemas.openxmlformats.org/officeDocument/2006/relationships/hyperlink" Target="https://sv.wikipedia.org/w/index.php?curid=8218225" TargetMode="External"/><Relationship Id="rId201" Type="http://schemas.openxmlformats.org/officeDocument/2006/relationships/hyperlink" Target="https://sv.wikipedia.org/w/index.php?curid=1058077" TargetMode="External"/><Relationship Id="rId200" Type="http://schemas.openxmlformats.org/officeDocument/2006/relationships/hyperlink" Target="https://sv.wikipedia.org/w/index.php?curid=3920318" TargetMode="External"/><Relationship Id="rId312" Type="http://schemas.openxmlformats.org/officeDocument/2006/relationships/drawing" Target="../drawings/drawing2.xml"/><Relationship Id="rId311" Type="http://schemas.openxmlformats.org/officeDocument/2006/relationships/hyperlink" Target="https://sv.wikipedia.org/w/index.php?curid=8583219" TargetMode="External"/><Relationship Id="rId310" Type="http://schemas.openxmlformats.org/officeDocument/2006/relationships/hyperlink" Target="https://sv.wikipedia.org/w/index.php?curid=8656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1.63"/>
    <col customWidth="1" min="2" max="2" width="42.88"/>
    <col customWidth="1" min="3" max="3" width="32.0"/>
    <col customWidth="1" min="4" max="5" width="10.38"/>
    <col customWidth="1" min="6" max="6" width="5.13"/>
    <col customWidth="1" min="7" max="7" width="4.88"/>
    <col customWidth="1" min="8" max="8" width="5.13"/>
    <col customWidth="1" min="9" max="9" width="4.5"/>
    <col customWidth="1" min="10" max="10" width="5.13"/>
    <col customWidth="1" min="11" max="11" width="4.5"/>
    <col customWidth="1" min="12" max="12" width="4.75"/>
    <col customWidth="1" min="13" max="13" width="4.88"/>
    <col customWidth="1" min="14" max="14" width="5.13"/>
    <col customWidth="1" min="15" max="15" width="4.88"/>
    <col customWidth="1" min="16" max="16" width="5.13"/>
    <col customWidth="1" min="17" max="17" width="4.88"/>
    <col customWidth="1" min="18" max="18" width="5.13"/>
    <col customWidth="1" min="19" max="19" width="4.0"/>
    <col customWidth="1" min="20" max="20" width="5.13"/>
    <col customWidth="1" min="21" max="21" width="0.38"/>
    <col customWidth="1" min="22" max="22" width="5.13"/>
    <col customWidth="1" min="23" max="23" width="4.88"/>
    <col customWidth="1" min="24" max="24" width="5.13"/>
    <col customWidth="1" min="25" max="25" width="4.88"/>
    <col customWidth="1" min="26" max="26" width="5.13"/>
    <col customWidth="1" min="27" max="27" width="4.88"/>
    <col customWidth="1" min="28" max="30" width="5.13"/>
    <col customWidth="1" min="31" max="31" width="4.88"/>
    <col customWidth="1" min="32" max="35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1881.0</v>
      </c>
      <c r="G1" s="2" t="s">
        <v>5</v>
      </c>
      <c r="H1" s="3">
        <v>1905.0</v>
      </c>
      <c r="I1" s="3" t="s">
        <v>5</v>
      </c>
      <c r="J1" s="3">
        <v>1915.0</v>
      </c>
      <c r="K1" s="4" t="s">
        <v>5</v>
      </c>
      <c r="L1" s="4">
        <v>1921.0</v>
      </c>
      <c r="M1" s="4" t="s">
        <v>5</v>
      </c>
      <c r="N1" s="4">
        <v>1925.0</v>
      </c>
      <c r="O1" s="4" t="s">
        <v>5</v>
      </c>
      <c r="P1" s="4">
        <v>1931.0</v>
      </c>
      <c r="Q1" s="5" t="s">
        <v>5</v>
      </c>
      <c r="R1" s="5">
        <v>1940.0</v>
      </c>
      <c r="S1" s="5" t="s">
        <v>5</v>
      </c>
      <c r="T1" s="5">
        <v>1942.0</v>
      </c>
      <c r="U1" s="5" t="s">
        <v>5</v>
      </c>
      <c r="V1" s="5">
        <v>1945.0</v>
      </c>
      <c r="W1" s="5" t="s">
        <v>5</v>
      </c>
      <c r="X1" s="5">
        <v>1947.0</v>
      </c>
      <c r="Y1" s="5" t="s">
        <v>5</v>
      </c>
      <c r="Z1" s="5">
        <v>1955.0</v>
      </c>
      <c r="AA1" s="5" t="s">
        <v>5</v>
      </c>
      <c r="AB1" s="5">
        <v>1963.0</v>
      </c>
      <c r="AC1" s="5" t="s">
        <v>5</v>
      </c>
      <c r="AD1" s="5">
        <v>1964.0</v>
      </c>
      <c r="AE1" s="5" t="s">
        <v>5</v>
      </c>
      <c r="AF1" s="5">
        <v>1970.0</v>
      </c>
      <c r="AG1" s="5" t="s">
        <v>5</v>
      </c>
      <c r="AH1" s="5" t="s">
        <v>6</v>
      </c>
      <c r="AI1" s="5" t="s">
        <v>7</v>
      </c>
    </row>
    <row r="2">
      <c r="A2" s="6" t="s">
        <v>8</v>
      </c>
      <c r="B2" s="7" t="s">
        <v>9</v>
      </c>
      <c r="C2" s="6" t="s">
        <v>10</v>
      </c>
      <c r="D2" s="8" t="s">
        <v>11</v>
      </c>
      <c r="E2" s="8">
        <v>775.0</v>
      </c>
      <c r="F2" s="9"/>
      <c r="G2" s="9"/>
      <c r="H2" s="10"/>
      <c r="I2" s="10"/>
      <c r="J2" s="10"/>
      <c r="K2" s="11"/>
      <c r="L2" s="11"/>
      <c r="M2" s="11"/>
      <c r="N2" s="11"/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>
        <v>1960.0</v>
      </c>
      <c r="AC2" s="14"/>
      <c r="AD2" s="15">
        <v>1961.0</v>
      </c>
      <c r="AE2" s="14"/>
      <c r="AF2" s="14"/>
      <c r="AG2" s="14"/>
      <c r="AH2" s="14">
        <v>1960.0</v>
      </c>
      <c r="AI2" s="14">
        <v>1964.0</v>
      </c>
    </row>
    <row r="3">
      <c r="A3" s="6" t="s">
        <v>12</v>
      </c>
      <c r="B3" s="7" t="s">
        <v>13</v>
      </c>
      <c r="C3" s="6" t="s">
        <v>14</v>
      </c>
      <c r="D3" s="8" t="s">
        <v>15</v>
      </c>
      <c r="E3" s="8">
        <v>401.0</v>
      </c>
      <c r="F3" s="9"/>
      <c r="G3" s="9"/>
      <c r="H3" s="10"/>
      <c r="I3" s="10"/>
      <c r="J3" s="10"/>
      <c r="K3" s="11"/>
      <c r="L3" s="11"/>
      <c r="M3" s="11"/>
      <c r="N3" s="11"/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4">
        <v>1910.0</v>
      </c>
      <c r="AI3" s="14">
        <v>1931.0</v>
      </c>
    </row>
    <row r="4">
      <c r="A4" s="6" t="s">
        <v>16</v>
      </c>
      <c r="B4" s="7" t="s">
        <v>17</v>
      </c>
      <c r="C4" s="6" t="s">
        <v>18</v>
      </c>
      <c r="D4" s="8" t="s">
        <v>19</v>
      </c>
      <c r="E4" s="8">
        <v>8098.0</v>
      </c>
      <c r="F4" s="16"/>
      <c r="G4" s="16"/>
      <c r="H4" s="17">
        <v>1884.0</v>
      </c>
      <c r="I4" s="9" t="s">
        <v>20</v>
      </c>
      <c r="J4" s="18"/>
      <c r="K4" s="11"/>
      <c r="L4" s="11"/>
      <c r="M4" s="11"/>
      <c r="N4" s="11"/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4">
        <v>1884.0</v>
      </c>
      <c r="AI4" s="14">
        <v>1905.0</v>
      </c>
    </row>
    <row r="5">
      <c r="A5" s="6" t="s">
        <v>21</v>
      </c>
      <c r="B5" s="7" t="s">
        <v>22</v>
      </c>
      <c r="C5" s="6" t="s">
        <v>23</v>
      </c>
      <c r="D5" s="8" t="s">
        <v>24</v>
      </c>
      <c r="E5" s="8">
        <v>6233.0</v>
      </c>
      <c r="F5" s="16"/>
      <c r="G5" s="16"/>
      <c r="H5" s="19">
        <v>1896.0</v>
      </c>
      <c r="I5" s="9" t="s">
        <v>20</v>
      </c>
      <c r="J5" s="10"/>
      <c r="K5" s="11"/>
      <c r="L5" s="11"/>
      <c r="M5" s="11"/>
      <c r="N5" s="11"/>
      <c r="O5" s="11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>
        <v>1896.0</v>
      </c>
      <c r="AI5" s="14">
        <v>1905.0</v>
      </c>
    </row>
    <row r="6">
      <c r="A6" s="6" t="s">
        <v>25</v>
      </c>
      <c r="B6" s="7" t="s">
        <v>26</v>
      </c>
      <c r="C6" s="6" t="s">
        <v>27</v>
      </c>
      <c r="D6" s="8" t="s">
        <v>28</v>
      </c>
      <c r="E6" s="8">
        <v>11296.0</v>
      </c>
      <c r="F6" s="16"/>
      <c r="G6" s="16"/>
      <c r="H6" s="17">
        <v>1900.0</v>
      </c>
      <c r="I6" s="9"/>
      <c r="J6" s="10"/>
      <c r="K6" s="11"/>
      <c r="L6" s="11"/>
      <c r="M6" s="11"/>
      <c r="N6" s="20">
        <v>1912.0</v>
      </c>
      <c r="O6" s="21" t="s">
        <v>29</v>
      </c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4">
        <v>1900.0</v>
      </c>
      <c r="AI6" s="14">
        <v>1912.0</v>
      </c>
    </row>
    <row r="7">
      <c r="A7" s="6" t="s">
        <v>30</v>
      </c>
      <c r="B7" s="7" t="s">
        <v>31</v>
      </c>
      <c r="C7" s="6" t="s">
        <v>32</v>
      </c>
      <c r="D7" s="8" t="s">
        <v>33</v>
      </c>
      <c r="E7" s="8">
        <v>6978.0</v>
      </c>
      <c r="F7" s="16"/>
      <c r="G7" s="16"/>
      <c r="H7" s="9"/>
      <c r="I7" s="9"/>
      <c r="J7" s="10"/>
      <c r="K7" s="11"/>
      <c r="L7" s="11"/>
      <c r="M7" s="11"/>
      <c r="N7" s="11"/>
      <c r="O7" s="11"/>
      <c r="P7" s="11"/>
      <c r="Q7" s="12"/>
      <c r="R7" s="12"/>
      <c r="S7" s="12"/>
      <c r="T7" s="12"/>
      <c r="U7" s="12"/>
      <c r="V7" s="12"/>
      <c r="W7" s="12"/>
      <c r="X7" s="22">
        <v>1927.0</v>
      </c>
      <c r="Y7" s="12"/>
      <c r="Z7" s="23">
        <v>1948.0</v>
      </c>
      <c r="AA7" s="14" t="s">
        <v>29</v>
      </c>
      <c r="AB7" s="13">
        <v>1948.0</v>
      </c>
      <c r="AC7" s="14" t="s">
        <v>29</v>
      </c>
      <c r="AD7" s="14"/>
      <c r="AE7" s="14"/>
      <c r="AF7" s="14"/>
      <c r="AG7" s="14"/>
      <c r="AH7" s="14">
        <v>1927.0</v>
      </c>
      <c r="AI7" s="14">
        <v>1948.0</v>
      </c>
    </row>
    <row r="8">
      <c r="A8" s="6" t="s">
        <v>34</v>
      </c>
      <c r="B8" s="7" t="s">
        <v>35</v>
      </c>
      <c r="C8" s="6" t="s">
        <v>36</v>
      </c>
      <c r="D8" s="8" t="s">
        <v>37</v>
      </c>
      <c r="E8" s="8">
        <v>10220.0</v>
      </c>
      <c r="F8" s="16"/>
      <c r="G8" s="16"/>
      <c r="H8" s="17">
        <v>1884.0</v>
      </c>
      <c r="I8" s="9"/>
      <c r="J8" s="10"/>
      <c r="K8" s="11"/>
      <c r="L8" s="11"/>
      <c r="M8" s="11"/>
      <c r="N8" s="20">
        <v>1912.0</v>
      </c>
      <c r="O8" s="21" t="s">
        <v>29</v>
      </c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4">
        <v>1884.0</v>
      </c>
      <c r="AI8" s="14">
        <v>1912.0</v>
      </c>
    </row>
    <row r="9">
      <c r="A9" s="6" t="s">
        <v>38</v>
      </c>
      <c r="B9" s="7" t="s">
        <v>39</v>
      </c>
      <c r="C9" s="6" t="s">
        <v>40</v>
      </c>
      <c r="D9" s="8" t="s">
        <v>41</v>
      </c>
      <c r="E9" s="8">
        <v>10617.0</v>
      </c>
      <c r="F9" s="16"/>
      <c r="G9" s="16"/>
      <c r="H9" s="17">
        <v>1885.0</v>
      </c>
      <c r="I9" s="9" t="s">
        <v>20</v>
      </c>
      <c r="J9" s="10"/>
      <c r="K9" s="11"/>
      <c r="L9" s="11"/>
      <c r="M9" s="11"/>
      <c r="N9" s="20">
        <v>1914.0</v>
      </c>
      <c r="O9" s="21" t="s">
        <v>29</v>
      </c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4">
        <v>1885.0</v>
      </c>
      <c r="AI9" s="14">
        <v>1914.0</v>
      </c>
    </row>
    <row r="10">
      <c r="A10" s="6" t="s">
        <v>42</v>
      </c>
      <c r="B10" s="7" t="s">
        <v>43</v>
      </c>
      <c r="C10" s="6" t="s">
        <v>44</v>
      </c>
      <c r="D10" s="8" t="s">
        <v>45</v>
      </c>
      <c r="E10" s="8">
        <v>10853.0</v>
      </c>
      <c r="F10" s="16"/>
      <c r="G10" s="16"/>
      <c r="H10" s="19">
        <v>1888.0</v>
      </c>
      <c r="I10" s="9" t="s">
        <v>20</v>
      </c>
      <c r="J10" s="10"/>
      <c r="K10" s="11"/>
      <c r="L10" s="11"/>
      <c r="M10" s="11"/>
      <c r="N10" s="20">
        <v>1914.0</v>
      </c>
      <c r="O10" s="21" t="s">
        <v>29</v>
      </c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4">
        <v>1888.0</v>
      </c>
      <c r="AI10" s="14">
        <v>1914.0</v>
      </c>
    </row>
    <row r="11">
      <c r="A11" s="6" t="s">
        <v>46</v>
      </c>
      <c r="B11" s="7" t="s">
        <v>47</v>
      </c>
      <c r="C11" s="6" t="s">
        <v>48</v>
      </c>
      <c r="D11" s="8" t="s">
        <v>49</v>
      </c>
      <c r="E11" s="8">
        <v>3637.0</v>
      </c>
      <c r="F11" s="16"/>
      <c r="G11" s="16"/>
      <c r="H11" s="17">
        <v>1891.0</v>
      </c>
      <c r="I11" s="9" t="s">
        <v>20</v>
      </c>
      <c r="J11" s="10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24">
        <v>1891.0</v>
      </c>
      <c r="AI11" s="24">
        <v>1905.0</v>
      </c>
    </row>
    <row r="12">
      <c r="A12" s="6" t="s">
        <v>50</v>
      </c>
      <c r="B12" s="7" t="s">
        <v>51</v>
      </c>
      <c r="C12" s="6" t="s">
        <v>52</v>
      </c>
      <c r="D12" s="8" t="s">
        <v>53</v>
      </c>
      <c r="E12" s="8">
        <v>10155.0</v>
      </c>
      <c r="F12" s="16"/>
      <c r="G12" s="16"/>
      <c r="H12" s="19">
        <v>1888.0</v>
      </c>
      <c r="I12" s="9" t="s">
        <v>20</v>
      </c>
      <c r="J12" s="25">
        <v>1888.0</v>
      </c>
      <c r="K12" s="11"/>
      <c r="L12" s="11"/>
      <c r="M12" s="11"/>
      <c r="N12" s="20">
        <v>1916.0</v>
      </c>
      <c r="O12" s="21" t="s">
        <v>29</v>
      </c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4">
        <v>1888.0</v>
      </c>
      <c r="AI12" s="14">
        <v>1916.0</v>
      </c>
    </row>
    <row r="13">
      <c r="A13" s="6" t="s">
        <v>54</v>
      </c>
      <c r="B13" s="7" t="s">
        <v>55</v>
      </c>
      <c r="C13" s="6" t="s">
        <v>56</v>
      </c>
      <c r="D13" s="8" t="s">
        <v>57</v>
      </c>
      <c r="E13" s="8">
        <v>11556.0</v>
      </c>
      <c r="F13" s="16"/>
      <c r="G13" s="16"/>
      <c r="H13" s="19">
        <v>1893.0</v>
      </c>
      <c r="I13" s="18"/>
      <c r="J13" s="25">
        <v>1885.0</v>
      </c>
      <c r="K13" s="11"/>
      <c r="L13" s="11"/>
      <c r="M13" s="11"/>
      <c r="N13" s="20">
        <v>1916.0</v>
      </c>
      <c r="O13" s="21" t="s">
        <v>29</v>
      </c>
      <c r="P13" s="26">
        <v>1916.0</v>
      </c>
      <c r="Q13" s="14" t="s">
        <v>29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4">
        <v>1885.0</v>
      </c>
      <c r="AI13" s="14">
        <v>1916.0</v>
      </c>
    </row>
    <row r="14">
      <c r="A14" s="6" t="s">
        <v>58</v>
      </c>
      <c r="B14" s="7" t="s">
        <v>59</v>
      </c>
      <c r="C14" s="6" t="s">
        <v>60</v>
      </c>
      <c r="D14" s="8" t="s">
        <v>61</v>
      </c>
      <c r="E14" s="8">
        <v>7255.0</v>
      </c>
      <c r="F14" s="16"/>
      <c r="G14" s="16"/>
      <c r="H14" s="19">
        <v>1888.0</v>
      </c>
      <c r="I14" s="9" t="s">
        <v>20</v>
      </c>
      <c r="J14" s="25">
        <v>1888.0</v>
      </c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4">
        <v>1888.0</v>
      </c>
      <c r="AI14" s="14">
        <v>1915.0</v>
      </c>
    </row>
    <row r="15">
      <c r="A15" s="6" t="s">
        <v>62</v>
      </c>
      <c r="B15" s="7" t="s">
        <v>63</v>
      </c>
      <c r="C15" s="6" t="s">
        <v>64</v>
      </c>
      <c r="D15" s="8" t="s">
        <v>65</v>
      </c>
      <c r="E15" s="8">
        <v>16938.0</v>
      </c>
      <c r="F15" s="16"/>
      <c r="G15" s="16"/>
      <c r="H15" s="19">
        <v>1891.0</v>
      </c>
      <c r="I15" s="18"/>
      <c r="J15" s="25">
        <v>1891.0</v>
      </c>
      <c r="K15" s="11"/>
      <c r="L15" s="11"/>
      <c r="M15" s="11"/>
      <c r="N15" s="20">
        <v>1917.0</v>
      </c>
      <c r="O15" s="21" t="s">
        <v>29</v>
      </c>
      <c r="P15" s="26">
        <v>1917.0</v>
      </c>
      <c r="Q15" s="14" t="s">
        <v>29</v>
      </c>
      <c r="R15" s="27">
        <v>1917.0</v>
      </c>
      <c r="S15" s="14" t="s">
        <v>29</v>
      </c>
      <c r="T15" s="28">
        <v>1917.0</v>
      </c>
      <c r="U15" s="14" t="s">
        <v>29</v>
      </c>
      <c r="V15" s="29">
        <v>1917.0</v>
      </c>
      <c r="W15" s="14" t="s">
        <v>29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4">
        <v>1891.0</v>
      </c>
      <c r="AI15" s="14">
        <v>1917.0</v>
      </c>
    </row>
    <row r="16">
      <c r="A16" s="6" t="s">
        <v>66</v>
      </c>
      <c r="B16" s="7" t="s">
        <v>67</v>
      </c>
      <c r="C16" s="6" t="s">
        <v>68</v>
      </c>
      <c r="D16" s="8" t="s">
        <v>69</v>
      </c>
      <c r="E16" s="8">
        <v>15229.0</v>
      </c>
      <c r="F16" s="16"/>
      <c r="G16" s="16"/>
      <c r="H16" s="19">
        <v>1902.0</v>
      </c>
      <c r="I16" s="9"/>
      <c r="J16" s="25">
        <v>1902.0</v>
      </c>
      <c r="K16" s="11"/>
      <c r="L16" s="11"/>
      <c r="M16" s="11"/>
      <c r="N16" s="20">
        <v>1918.0</v>
      </c>
      <c r="O16" s="21" t="s">
        <v>29</v>
      </c>
      <c r="P16" s="26">
        <v>1918.0</v>
      </c>
      <c r="Q16" s="14" t="s">
        <v>29</v>
      </c>
      <c r="R16" s="27">
        <v>1918.0</v>
      </c>
      <c r="S16" s="14" t="s">
        <v>29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4">
        <v>1902.0</v>
      </c>
      <c r="AI16" s="14">
        <v>1918.0</v>
      </c>
    </row>
    <row r="17">
      <c r="A17" s="6" t="s">
        <v>70</v>
      </c>
      <c r="B17" s="7" t="s">
        <v>71</v>
      </c>
      <c r="C17" s="6" t="s">
        <v>72</v>
      </c>
      <c r="D17" s="8" t="s">
        <v>73</v>
      </c>
      <c r="E17" s="8">
        <v>6710.0</v>
      </c>
      <c r="F17" s="16"/>
      <c r="G17" s="16"/>
      <c r="H17" s="18"/>
      <c r="I17" s="9"/>
      <c r="J17" s="25">
        <v>1887.0</v>
      </c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4">
        <v>1887.0</v>
      </c>
      <c r="AI17" s="14">
        <v>1915.0</v>
      </c>
    </row>
    <row r="18">
      <c r="A18" s="6" t="s">
        <v>74</v>
      </c>
      <c r="B18" s="7" t="s">
        <v>75</v>
      </c>
      <c r="C18" s="6" t="s">
        <v>76</v>
      </c>
      <c r="D18" s="8" t="s">
        <v>77</v>
      </c>
      <c r="E18" s="8">
        <v>6299.0</v>
      </c>
      <c r="F18" s="16"/>
      <c r="G18" s="16"/>
      <c r="H18" s="19">
        <v>1889.0</v>
      </c>
      <c r="I18" s="16"/>
      <c r="J18" s="30">
        <v>1886.0</v>
      </c>
      <c r="K18" s="11"/>
      <c r="L18" s="11"/>
      <c r="M18" s="11"/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4">
        <v>1889.0</v>
      </c>
      <c r="AI18" s="14">
        <v>1915.0</v>
      </c>
    </row>
    <row r="19">
      <c r="A19" s="6" t="s">
        <v>78</v>
      </c>
      <c r="B19" s="7" t="s">
        <v>79</v>
      </c>
      <c r="C19" s="6" t="s">
        <v>80</v>
      </c>
      <c r="D19" s="8" t="s">
        <v>81</v>
      </c>
      <c r="E19" s="8">
        <v>14036.0</v>
      </c>
      <c r="F19" s="16"/>
      <c r="G19" s="16"/>
      <c r="H19" s="9"/>
      <c r="I19" s="9"/>
      <c r="J19" s="10"/>
      <c r="K19" s="11"/>
      <c r="L19" s="31">
        <v>1909.0</v>
      </c>
      <c r="M19" s="11"/>
      <c r="N19" s="20">
        <v>1922.0</v>
      </c>
      <c r="O19" s="21" t="s">
        <v>29</v>
      </c>
      <c r="P19" s="26">
        <v>1922.0</v>
      </c>
      <c r="Q19" s="14" t="s">
        <v>29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4">
        <v>1909.0</v>
      </c>
      <c r="AI19" s="14">
        <v>1922.0</v>
      </c>
    </row>
    <row r="20">
      <c r="A20" s="6" t="s">
        <v>82</v>
      </c>
      <c r="B20" s="7" t="s">
        <v>83</v>
      </c>
      <c r="C20" s="6" t="s">
        <v>84</v>
      </c>
      <c r="D20" s="8" t="s">
        <v>85</v>
      </c>
      <c r="E20" s="8">
        <v>8932.0</v>
      </c>
      <c r="F20" s="16"/>
      <c r="G20" s="16"/>
      <c r="H20" s="19">
        <v>1890.0</v>
      </c>
      <c r="I20" s="9"/>
      <c r="J20" s="25">
        <v>1890.0</v>
      </c>
      <c r="K20" s="11"/>
      <c r="L20" s="31">
        <v>1890.0</v>
      </c>
      <c r="M20" s="11"/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4">
        <v>1890.0</v>
      </c>
      <c r="AI20" s="14">
        <v>1921.0</v>
      </c>
    </row>
    <row r="21">
      <c r="A21" s="6" t="s">
        <v>86</v>
      </c>
      <c r="B21" s="7" t="s">
        <v>87</v>
      </c>
      <c r="C21" s="6" t="s">
        <v>88</v>
      </c>
      <c r="D21" s="8" t="s">
        <v>89</v>
      </c>
      <c r="E21" s="8">
        <v>11324.0</v>
      </c>
      <c r="F21" s="16"/>
      <c r="G21" s="16"/>
      <c r="H21" s="19">
        <v>1900.0</v>
      </c>
      <c r="I21" s="9"/>
      <c r="J21" s="25">
        <v>1900.0</v>
      </c>
      <c r="K21" s="11"/>
      <c r="L21" s="31">
        <v>1900.0</v>
      </c>
      <c r="M21" s="11"/>
      <c r="N21" s="20">
        <v>1924.0</v>
      </c>
      <c r="O21" s="21" t="s">
        <v>29</v>
      </c>
      <c r="P21" s="26">
        <v>1924.0</v>
      </c>
      <c r="Q21" s="14" t="s">
        <v>29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4">
        <v>1900.0</v>
      </c>
      <c r="AI21" s="14">
        <v>1924.0</v>
      </c>
    </row>
    <row r="22">
      <c r="A22" s="6" t="s">
        <v>90</v>
      </c>
      <c r="B22" s="7" t="s">
        <v>91</v>
      </c>
      <c r="C22" s="6" t="s">
        <v>92</v>
      </c>
      <c r="D22" s="8" t="s">
        <v>93</v>
      </c>
      <c r="E22" s="8">
        <v>18755.0</v>
      </c>
      <c r="F22" s="16"/>
      <c r="G22" s="16"/>
      <c r="H22" s="19">
        <v>1895.0</v>
      </c>
      <c r="I22" s="9" t="s">
        <v>20</v>
      </c>
      <c r="J22" s="25">
        <v>1895.0</v>
      </c>
      <c r="K22" s="11"/>
      <c r="L22" s="31">
        <v>1895.0</v>
      </c>
      <c r="M22" s="11"/>
      <c r="N22" s="20">
        <v>1895.0</v>
      </c>
      <c r="O22" s="11"/>
      <c r="P22" s="26">
        <v>1926.0</v>
      </c>
      <c r="Q22" s="14" t="s">
        <v>29</v>
      </c>
      <c r="R22" s="27">
        <v>1926.0</v>
      </c>
      <c r="S22" s="14" t="s">
        <v>29</v>
      </c>
      <c r="T22" s="28">
        <v>1926.0</v>
      </c>
      <c r="U22" s="14" t="s">
        <v>29</v>
      </c>
      <c r="V22" s="29">
        <v>1926.0</v>
      </c>
      <c r="W22" s="14" t="s">
        <v>29</v>
      </c>
      <c r="X22" s="22">
        <v>1926.0</v>
      </c>
      <c r="Y22" s="14" t="s">
        <v>29</v>
      </c>
      <c r="Z22" s="12"/>
      <c r="AA22" s="12"/>
      <c r="AB22" s="12"/>
      <c r="AC22" s="12"/>
      <c r="AD22" s="12"/>
      <c r="AE22" s="12"/>
      <c r="AF22" s="12"/>
      <c r="AG22" s="12"/>
      <c r="AH22" s="14">
        <v>1895.0</v>
      </c>
      <c r="AI22" s="14">
        <v>1926.0</v>
      </c>
    </row>
    <row r="23">
      <c r="A23" s="6" t="s">
        <v>94</v>
      </c>
      <c r="B23" s="7" t="s">
        <v>95</v>
      </c>
      <c r="C23" s="6" t="s">
        <v>96</v>
      </c>
      <c r="D23" s="8" t="s">
        <v>97</v>
      </c>
      <c r="E23" s="8">
        <v>13970.0</v>
      </c>
      <c r="F23" s="16"/>
      <c r="G23" s="16"/>
      <c r="H23" s="19">
        <v>1901.0</v>
      </c>
      <c r="I23" s="9"/>
      <c r="J23" s="25">
        <v>1901.0</v>
      </c>
      <c r="K23" s="11"/>
      <c r="L23" s="31">
        <v>1901.0</v>
      </c>
      <c r="M23" s="11"/>
      <c r="N23" s="20">
        <v>1901.0</v>
      </c>
      <c r="O23" s="11"/>
      <c r="P23" s="26">
        <v>1927.0</v>
      </c>
      <c r="Q23" s="14" t="s">
        <v>29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4">
        <v>1901.0</v>
      </c>
      <c r="AI23" s="14">
        <v>1927.0</v>
      </c>
    </row>
    <row r="24">
      <c r="A24" s="6" t="s">
        <v>98</v>
      </c>
      <c r="B24" s="7" t="s">
        <v>99</v>
      </c>
      <c r="C24" s="6" t="s">
        <v>100</v>
      </c>
      <c r="D24" s="8" t="s">
        <v>101</v>
      </c>
      <c r="E24" s="8">
        <v>13982.0</v>
      </c>
      <c r="F24" s="16"/>
      <c r="G24" s="16"/>
      <c r="H24" s="17">
        <v>1903.0</v>
      </c>
      <c r="I24" s="9" t="s">
        <v>20</v>
      </c>
      <c r="J24" s="25">
        <v>1903.0</v>
      </c>
      <c r="K24" s="11"/>
      <c r="L24" s="31">
        <v>1903.0</v>
      </c>
      <c r="M24" s="11"/>
      <c r="N24" s="20">
        <v>1903.0</v>
      </c>
      <c r="O24" s="11"/>
      <c r="P24" s="26">
        <v>1927.0</v>
      </c>
      <c r="Q24" s="14" t="s">
        <v>29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4">
        <v>1903.0</v>
      </c>
      <c r="AI24" s="14">
        <v>1927.0</v>
      </c>
    </row>
    <row r="25">
      <c r="A25" s="6" t="s">
        <v>102</v>
      </c>
      <c r="B25" s="7" t="s">
        <v>103</v>
      </c>
      <c r="C25" s="6" t="s">
        <v>104</v>
      </c>
      <c r="D25" s="8" t="s">
        <v>105</v>
      </c>
      <c r="E25" s="8">
        <v>14422.0</v>
      </c>
      <c r="F25" s="16"/>
      <c r="G25" s="16"/>
      <c r="H25" s="19">
        <v>1895.0</v>
      </c>
      <c r="I25" s="9" t="s">
        <v>20</v>
      </c>
      <c r="J25" s="25">
        <v>1895.0</v>
      </c>
      <c r="K25" s="11"/>
      <c r="L25" s="31">
        <v>1895.0</v>
      </c>
      <c r="M25" s="11"/>
      <c r="N25" s="20">
        <v>1895.0</v>
      </c>
      <c r="O25" s="11"/>
      <c r="P25" s="26">
        <v>1927.0</v>
      </c>
      <c r="Q25" s="14" t="s">
        <v>29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4"/>
      <c r="AE25" s="12"/>
      <c r="AF25" s="12"/>
      <c r="AG25" s="12"/>
      <c r="AH25" s="14">
        <v>1895.0</v>
      </c>
      <c r="AI25" s="14">
        <v>1927.0</v>
      </c>
    </row>
    <row r="26">
      <c r="A26" s="6" t="s">
        <v>106</v>
      </c>
      <c r="B26" s="7" t="s">
        <v>107</v>
      </c>
      <c r="C26" s="6" t="s">
        <v>108</v>
      </c>
      <c r="D26" s="8" t="s">
        <v>109</v>
      </c>
      <c r="E26" s="8">
        <v>12767.0</v>
      </c>
      <c r="F26" s="9"/>
      <c r="G26" s="9"/>
      <c r="H26" s="10"/>
      <c r="I26" s="10"/>
      <c r="J26" s="10"/>
      <c r="K26" s="11"/>
      <c r="L26" s="31">
        <v>1918.0</v>
      </c>
      <c r="M26" s="11"/>
      <c r="N26" s="20">
        <v>1918.0</v>
      </c>
      <c r="O26" s="11"/>
      <c r="P26" s="26">
        <v>1928.0</v>
      </c>
      <c r="Q26" s="14" t="s">
        <v>29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4">
        <v>1918.0</v>
      </c>
      <c r="AI26" s="14">
        <v>1928.0</v>
      </c>
    </row>
    <row r="27">
      <c r="A27" s="6" t="s">
        <v>110</v>
      </c>
      <c r="B27" s="7" t="s">
        <v>111</v>
      </c>
      <c r="C27" s="6" t="s">
        <v>112</v>
      </c>
      <c r="D27" s="8" t="s">
        <v>113</v>
      </c>
      <c r="E27" s="8">
        <v>15230.0</v>
      </c>
      <c r="F27" s="18"/>
      <c r="G27" s="9"/>
      <c r="H27" s="10"/>
      <c r="I27" s="10"/>
      <c r="J27" s="25">
        <v>1910.0</v>
      </c>
      <c r="K27" s="11"/>
      <c r="L27" s="31">
        <v>1918.0</v>
      </c>
      <c r="M27" s="11"/>
      <c r="N27" s="20">
        <v>1918.0</v>
      </c>
      <c r="O27" s="11"/>
      <c r="P27" s="26">
        <v>1918.0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4">
        <v>1910.0</v>
      </c>
      <c r="AI27" s="14">
        <v>1931.0</v>
      </c>
    </row>
    <row r="28">
      <c r="A28" s="6" t="s">
        <v>114</v>
      </c>
      <c r="B28" s="7" t="s">
        <v>115</v>
      </c>
      <c r="C28" s="6" t="s">
        <v>116</v>
      </c>
      <c r="D28" s="8" t="s">
        <v>117</v>
      </c>
      <c r="E28" s="8">
        <v>16192.0</v>
      </c>
      <c r="F28" s="9"/>
      <c r="G28" s="9"/>
      <c r="H28" s="10"/>
      <c r="I28" s="10"/>
      <c r="J28" s="10"/>
      <c r="K28" s="11"/>
      <c r="L28" s="11"/>
      <c r="M28" s="11"/>
      <c r="N28" s="20">
        <v>1924.0</v>
      </c>
      <c r="O28" s="11"/>
      <c r="P28" s="26">
        <v>1924.0</v>
      </c>
      <c r="Q28" s="12"/>
      <c r="R28" s="27">
        <v>1931.0</v>
      </c>
      <c r="S28" s="14" t="s">
        <v>29</v>
      </c>
      <c r="T28" s="28">
        <v>1931.0</v>
      </c>
      <c r="U28" s="14" t="s">
        <v>29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>
        <v>1924.0</v>
      </c>
      <c r="AI28" s="14">
        <v>1931.0</v>
      </c>
    </row>
    <row r="29">
      <c r="A29" s="6" t="s">
        <v>118</v>
      </c>
      <c r="B29" s="7" t="s">
        <v>119</v>
      </c>
      <c r="C29" s="6" t="s">
        <v>120</v>
      </c>
      <c r="D29" s="8" t="s">
        <v>121</v>
      </c>
      <c r="E29" s="8">
        <v>8331.0</v>
      </c>
      <c r="F29" s="16"/>
      <c r="G29" s="16"/>
      <c r="H29" s="17">
        <v>1901.0</v>
      </c>
      <c r="I29" s="9" t="s">
        <v>20</v>
      </c>
      <c r="J29" s="25">
        <v>1901.0</v>
      </c>
      <c r="K29" s="11"/>
      <c r="L29" s="31">
        <v>1901.0</v>
      </c>
      <c r="M29" s="11"/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4">
        <v>1901.0</v>
      </c>
      <c r="AI29" s="14">
        <v>1921.0</v>
      </c>
    </row>
    <row r="30">
      <c r="A30" s="6" t="s">
        <v>122</v>
      </c>
      <c r="B30" s="7" t="s">
        <v>123</v>
      </c>
      <c r="C30" s="6" t="s">
        <v>124</v>
      </c>
      <c r="D30" s="8" t="s">
        <v>125</v>
      </c>
      <c r="E30" s="8">
        <v>14787.0</v>
      </c>
      <c r="F30" s="16"/>
      <c r="G30" s="16"/>
      <c r="H30" s="9"/>
      <c r="I30" s="9"/>
      <c r="J30" s="25">
        <v>1910.0</v>
      </c>
      <c r="K30" s="11"/>
      <c r="L30" s="31">
        <v>1910.0</v>
      </c>
      <c r="M30" s="11"/>
      <c r="N30" s="20">
        <v>1910.0</v>
      </c>
      <c r="O30" s="11"/>
      <c r="P30" s="26">
        <v>1910.0</v>
      </c>
      <c r="Q30" s="12"/>
      <c r="R30" s="27">
        <v>1931.0</v>
      </c>
      <c r="S30" s="14" t="s">
        <v>29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4">
        <v>1910.0</v>
      </c>
      <c r="AI30" s="14">
        <v>1931.0</v>
      </c>
    </row>
    <row r="31">
      <c r="A31" s="6" t="s">
        <v>126</v>
      </c>
      <c r="B31" s="7" t="s">
        <v>127</v>
      </c>
      <c r="C31" s="6" t="s">
        <v>128</v>
      </c>
      <c r="D31" s="8" t="s">
        <v>129</v>
      </c>
      <c r="E31" s="8">
        <v>8597.0</v>
      </c>
      <c r="F31" s="16"/>
      <c r="G31" s="16"/>
      <c r="H31" s="19">
        <v>1899.0</v>
      </c>
      <c r="I31" s="9"/>
      <c r="J31" s="25">
        <v>1895.0</v>
      </c>
      <c r="K31" s="11"/>
      <c r="L31" s="31">
        <v>1895.0</v>
      </c>
      <c r="M31" s="11"/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4">
        <v>1895.0</v>
      </c>
      <c r="AI31" s="14">
        <v>1921.0</v>
      </c>
    </row>
    <row r="32">
      <c r="A32" s="6" t="s">
        <v>130</v>
      </c>
      <c r="B32" s="7" t="s">
        <v>131</v>
      </c>
      <c r="C32" s="6" t="s">
        <v>132</v>
      </c>
      <c r="D32" s="8" t="s">
        <v>133</v>
      </c>
      <c r="E32" s="8">
        <v>18965.0</v>
      </c>
      <c r="F32" s="9"/>
      <c r="G32" s="9"/>
      <c r="H32" s="10"/>
      <c r="I32" s="10"/>
      <c r="J32" s="10"/>
      <c r="K32" s="11"/>
      <c r="L32" s="31">
        <v>1919.0</v>
      </c>
      <c r="M32" s="11"/>
      <c r="N32" s="20">
        <v>1919.0</v>
      </c>
      <c r="O32" s="11"/>
      <c r="P32" s="26">
        <v>1919.0</v>
      </c>
      <c r="Q32" s="12"/>
      <c r="R32" s="27">
        <v>1932.0</v>
      </c>
      <c r="S32" s="14" t="s">
        <v>29</v>
      </c>
      <c r="T32" s="28">
        <v>1932.0</v>
      </c>
      <c r="U32" s="14" t="s">
        <v>29</v>
      </c>
      <c r="V32" s="29">
        <v>1932.0</v>
      </c>
      <c r="W32" s="14" t="s">
        <v>29</v>
      </c>
      <c r="X32" s="22">
        <v>1932.0</v>
      </c>
      <c r="Y32" s="14" t="s">
        <v>29</v>
      </c>
      <c r="Z32" s="12"/>
      <c r="AA32" s="12"/>
      <c r="AB32" s="12"/>
      <c r="AC32" s="12"/>
      <c r="AD32" s="12"/>
      <c r="AE32" s="12"/>
      <c r="AF32" s="12"/>
      <c r="AG32" s="12"/>
      <c r="AH32" s="14">
        <v>1919.0</v>
      </c>
      <c r="AI32" s="14">
        <v>1932.0</v>
      </c>
    </row>
    <row r="33">
      <c r="A33" s="6" t="s">
        <v>134</v>
      </c>
      <c r="B33" s="7" t="s">
        <v>135</v>
      </c>
      <c r="C33" s="6" t="s">
        <v>136</v>
      </c>
      <c r="D33" s="8" t="s">
        <v>137</v>
      </c>
      <c r="E33" s="8">
        <v>16796.0</v>
      </c>
      <c r="F33" s="9"/>
      <c r="G33" s="9"/>
      <c r="H33" s="10"/>
      <c r="I33" s="10"/>
      <c r="J33" s="25">
        <v>1914.0</v>
      </c>
      <c r="K33" s="11"/>
      <c r="L33" s="31">
        <v>1914.0</v>
      </c>
      <c r="M33" s="11"/>
      <c r="N33" s="20">
        <v>1914.0</v>
      </c>
      <c r="O33" s="11"/>
      <c r="P33" s="26">
        <v>1914.0</v>
      </c>
      <c r="Q33" s="12"/>
      <c r="R33" s="27">
        <v>1932.0</v>
      </c>
      <c r="S33" s="14" t="s">
        <v>29</v>
      </c>
      <c r="T33" s="28">
        <v>1932.0</v>
      </c>
      <c r="U33" s="14" t="s">
        <v>29</v>
      </c>
      <c r="V33" s="29">
        <v>1932.0</v>
      </c>
      <c r="W33" s="14" t="s">
        <v>29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4">
        <v>1914.0</v>
      </c>
      <c r="AI33" s="14">
        <v>1932.0</v>
      </c>
    </row>
    <row r="34">
      <c r="A34" s="6" t="s">
        <v>138</v>
      </c>
      <c r="B34" s="7" t="s">
        <v>139</v>
      </c>
      <c r="C34" s="6" t="s">
        <v>140</v>
      </c>
      <c r="D34" s="8" t="s">
        <v>141</v>
      </c>
      <c r="E34" s="8">
        <v>16780.0</v>
      </c>
      <c r="F34" s="9"/>
      <c r="G34" s="9"/>
      <c r="H34" s="10"/>
      <c r="I34" s="10"/>
      <c r="J34" s="25">
        <v>1913.0</v>
      </c>
      <c r="K34" s="11"/>
      <c r="L34" s="31">
        <v>1913.0</v>
      </c>
      <c r="M34" s="11"/>
      <c r="N34" s="11"/>
      <c r="O34" s="11"/>
      <c r="P34" s="26">
        <v>1927.0</v>
      </c>
      <c r="Q34" s="12"/>
      <c r="R34" s="12"/>
      <c r="S34" s="12"/>
      <c r="T34" s="28">
        <v>1934.0</v>
      </c>
      <c r="U34" s="14" t="s">
        <v>29</v>
      </c>
      <c r="V34" s="29">
        <v>1934.0</v>
      </c>
      <c r="W34" s="14" t="s">
        <v>29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4">
        <v>1913.0</v>
      </c>
      <c r="AI34" s="14">
        <v>1934.0</v>
      </c>
    </row>
    <row r="35">
      <c r="A35" s="6" t="s">
        <v>142</v>
      </c>
      <c r="B35" s="32" t="s">
        <v>143</v>
      </c>
      <c r="C35" s="6" t="s">
        <v>144</v>
      </c>
      <c r="D35" s="33" t="s">
        <v>145</v>
      </c>
      <c r="E35" s="33">
        <v>13857.0</v>
      </c>
      <c r="F35" s="34"/>
      <c r="G35" s="34"/>
      <c r="H35" s="10"/>
      <c r="I35" s="10"/>
      <c r="J35" s="25">
        <v>1913.0</v>
      </c>
      <c r="K35" s="11"/>
      <c r="L35" s="31">
        <v>1913.0</v>
      </c>
      <c r="M35" s="11"/>
      <c r="N35" s="20">
        <v>1913.0</v>
      </c>
      <c r="O35" s="11"/>
      <c r="P35" s="26">
        <v>1913.0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4">
        <v>1913.0</v>
      </c>
      <c r="AI35" s="14">
        <v>1931.0</v>
      </c>
    </row>
    <row r="36">
      <c r="A36" s="6" t="s">
        <v>146</v>
      </c>
      <c r="B36" s="7" t="s">
        <v>147</v>
      </c>
      <c r="C36" s="6" t="s">
        <v>148</v>
      </c>
      <c r="D36" s="8" t="s">
        <v>149</v>
      </c>
      <c r="E36" s="8">
        <v>22544.0</v>
      </c>
      <c r="F36" s="9"/>
      <c r="G36" s="9"/>
      <c r="H36" s="10"/>
      <c r="I36" s="10"/>
      <c r="J36" s="25">
        <v>1913.0</v>
      </c>
      <c r="K36" s="11"/>
      <c r="L36" s="31">
        <v>1913.0</v>
      </c>
      <c r="M36" s="11"/>
      <c r="N36" s="20">
        <v>1913.0</v>
      </c>
      <c r="O36" s="11"/>
      <c r="P36" s="26">
        <v>1913.0</v>
      </c>
      <c r="Q36" s="12"/>
      <c r="R36" s="27">
        <v>1936.0</v>
      </c>
      <c r="S36" s="14" t="s">
        <v>29</v>
      </c>
      <c r="T36" s="28">
        <v>1936.0</v>
      </c>
      <c r="U36" s="14" t="s">
        <v>29</v>
      </c>
      <c r="V36" s="29">
        <v>1936.0</v>
      </c>
      <c r="W36" s="14" t="s">
        <v>29</v>
      </c>
      <c r="X36" s="22">
        <v>1936.0</v>
      </c>
      <c r="Y36" s="14" t="s">
        <v>29</v>
      </c>
      <c r="Z36" s="23">
        <v>1936.0</v>
      </c>
      <c r="AA36" s="14" t="s">
        <v>29</v>
      </c>
      <c r="AB36" s="14"/>
      <c r="AC36" s="14"/>
      <c r="AD36" s="14"/>
      <c r="AE36" s="14"/>
      <c r="AF36" s="14"/>
      <c r="AG36" s="14"/>
      <c r="AH36" s="14">
        <v>1913.0</v>
      </c>
      <c r="AI36" s="14">
        <v>1936.0</v>
      </c>
    </row>
    <row r="37">
      <c r="A37" s="6" t="s">
        <v>150</v>
      </c>
      <c r="B37" s="35"/>
      <c r="C37" s="6" t="s">
        <v>151</v>
      </c>
      <c r="D37" s="8" t="s">
        <v>152</v>
      </c>
      <c r="E37" s="8">
        <v>22745.0</v>
      </c>
      <c r="F37" s="9"/>
      <c r="G37" s="9"/>
      <c r="H37" s="10"/>
      <c r="I37" s="10"/>
      <c r="J37" s="10"/>
      <c r="K37" s="11"/>
      <c r="L37" s="11"/>
      <c r="M37" s="11"/>
      <c r="N37" s="20">
        <v>1921.0</v>
      </c>
      <c r="O37" s="11"/>
      <c r="P37" s="26">
        <v>1921.0</v>
      </c>
      <c r="Q37" s="12"/>
      <c r="R37" s="27">
        <v>1937.0</v>
      </c>
      <c r="S37" s="12"/>
      <c r="T37" s="28">
        <v>1937.0</v>
      </c>
      <c r="U37" s="14" t="s">
        <v>29</v>
      </c>
      <c r="V37" s="29">
        <v>1937.0</v>
      </c>
      <c r="W37" s="14" t="s">
        <v>29</v>
      </c>
      <c r="X37" s="22">
        <v>1937.0</v>
      </c>
      <c r="Y37" s="14" t="s">
        <v>29</v>
      </c>
      <c r="Z37" s="23">
        <v>1937.0</v>
      </c>
      <c r="AA37" s="14" t="s">
        <v>29</v>
      </c>
      <c r="AB37" s="14"/>
      <c r="AC37" s="14"/>
      <c r="AD37" s="14"/>
      <c r="AE37" s="14"/>
      <c r="AF37" s="14"/>
      <c r="AG37" s="14"/>
      <c r="AH37" s="14">
        <v>1921.0</v>
      </c>
      <c r="AI37" s="14">
        <v>1937.0</v>
      </c>
    </row>
    <row r="38">
      <c r="A38" s="6" t="s">
        <v>153</v>
      </c>
      <c r="B38" s="7" t="s">
        <v>154</v>
      </c>
      <c r="C38" s="6" t="s">
        <v>155</v>
      </c>
      <c r="D38" s="8" t="s">
        <v>156</v>
      </c>
      <c r="E38" s="8">
        <v>19947.0</v>
      </c>
      <c r="F38" s="9"/>
      <c r="G38" s="9"/>
      <c r="H38" s="10"/>
      <c r="I38" s="10"/>
      <c r="J38" s="10"/>
      <c r="K38" s="11"/>
      <c r="L38" s="11"/>
      <c r="M38" s="11"/>
      <c r="N38" s="20">
        <v>1923.0</v>
      </c>
      <c r="O38" s="11"/>
      <c r="P38" s="26">
        <v>1923.0</v>
      </c>
      <c r="Q38" s="12"/>
      <c r="R38" s="27">
        <v>1937.0</v>
      </c>
      <c r="S38" s="14" t="s">
        <v>29</v>
      </c>
      <c r="T38" s="28">
        <v>1937.0</v>
      </c>
      <c r="U38" s="14" t="s">
        <v>29</v>
      </c>
      <c r="V38" s="29">
        <v>1937.0</v>
      </c>
      <c r="W38" s="14" t="s">
        <v>29</v>
      </c>
      <c r="X38" s="22">
        <v>1937.0</v>
      </c>
      <c r="Y38" s="14" t="s">
        <v>29</v>
      </c>
      <c r="Z38" s="12"/>
      <c r="AA38" s="12"/>
      <c r="AB38" s="12"/>
      <c r="AC38" s="12"/>
      <c r="AD38" s="12"/>
      <c r="AE38" s="12"/>
      <c r="AF38" s="12"/>
      <c r="AG38" s="12"/>
      <c r="AH38" s="14">
        <v>1923.0</v>
      </c>
      <c r="AI38" s="14">
        <v>1937.0</v>
      </c>
    </row>
    <row r="39">
      <c r="A39" s="6" t="s">
        <v>157</v>
      </c>
      <c r="B39" s="7" t="s">
        <v>158</v>
      </c>
      <c r="C39" s="6" t="s">
        <v>159</v>
      </c>
      <c r="D39" s="8" t="s">
        <v>160</v>
      </c>
      <c r="E39" s="8">
        <v>11165.0</v>
      </c>
      <c r="F39" s="34"/>
      <c r="G39" s="34"/>
      <c r="H39" s="10"/>
      <c r="I39" s="10"/>
      <c r="J39" s="10"/>
      <c r="K39" s="11"/>
      <c r="L39" s="31">
        <v>1917.0</v>
      </c>
      <c r="M39" s="11"/>
      <c r="N39" s="20">
        <v>1917.0</v>
      </c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4">
        <v>1917.0</v>
      </c>
      <c r="AI39" s="14">
        <v>1925.0</v>
      </c>
    </row>
    <row r="40">
      <c r="A40" s="6" t="s">
        <v>161</v>
      </c>
      <c r="B40" s="7" t="s">
        <v>162</v>
      </c>
      <c r="C40" s="6" t="s">
        <v>163</v>
      </c>
      <c r="D40" s="8" t="s">
        <v>164</v>
      </c>
      <c r="E40" s="8">
        <v>19973.0</v>
      </c>
      <c r="F40" s="9"/>
      <c r="G40" s="9"/>
      <c r="H40" s="10"/>
      <c r="I40" s="10"/>
      <c r="J40" s="25">
        <v>1912.0</v>
      </c>
      <c r="K40" s="11"/>
      <c r="L40" s="31">
        <v>1912.0</v>
      </c>
      <c r="M40" s="11"/>
      <c r="N40" s="11"/>
      <c r="O40" s="11"/>
      <c r="P40" s="26">
        <v>1912.0</v>
      </c>
      <c r="Q40" s="12"/>
      <c r="R40" s="27">
        <v>1912.0</v>
      </c>
      <c r="S40" s="12"/>
      <c r="T40" s="28">
        <v>1940.0</v>
      </c>
      <c r="U40" s="14" t="s">
        <v>29</v>
      </c>
      <c r="V40" s="29">
        <v>1940.0</v>
      </c>
      <c r="W40" s="14" t="s">
        <v>29</v>
      </c>
      <c r="X40" s="22">
        <v>1940.0</v>
      </c>
      <c r="Y40" s="14" t="s">
        <v>29</v>
      </c>
      <c r="Z40" s="12"/>
      <c r="AA40" s="12"/>
      <c r="AB40" s="12"/>
      <c r="AC40" s="12"/>
      <c r="AD40" s="12"/>
      <c r="AE40" s="12"/>
      <c r="AF40" s="12"/>
      <c r="AG40" s="12"/>
      <c r="AH40" s="14">
        <v>1912.0</v>
      </c>
      <c r="AI40" s="14">
        <v>1940.0</v>
      </c>
    </row>
    <row r="41">
      <c r="A41" s="6" t="s">
        <v>165</v>
      </c>
      <c r="B41" s="7" t="s">
        <v>166</v>
      </c>
      <c r="C41" s="6" t="s">
        <v>167</v>
      </c>
      <c r="D41" s="8" t="s">
        <v>168</v>
      </c>
      <c r="E41" s="8">
        <v>18580.0</v>
      </c>
      <c r="F41" s="9"/>
      <c r="G41" s="9"/>
      <c r="H41" s="10"/>
      <c r="I41" s="10"/>
      <c r="J41" s="10"/>
      <c r="K41" s="11"/>
      <c r="L41" s="31">
        <v>1916.0</v>
      </c>
      <c r="M41" s="11"/>
      <c r="N41" s="20">
        <v>1916.0</v>
      </c>
      <c r="O41" s="11"/>
      <c r="P41" s="26">
        <v>1927.0</v>
      </c>
      <c r="Q41" s="12"/>
      <c r="R41" s="27">
        <v>1936.0</v>
      </c>
      <c r="S41" s="12"/>
      <c r="T41" s="28">
        <v>1941.0</v>
      </c>
      <c r="U41" s="14" t="s">
        <v>29</v>
      </c>
      <c r="V41" s="29">
        <v>1941.0</v>
      </c>
      <c r="W41" s="14" t="s">
        <v>29</v>
      </c>
      <c r="X41" s="22">
        <v>1941.0</v>
      </c>
      <c r="Y41" s="14" t="s">
        <v>29</v>
      </c>
      <c r="Z41" s="12"/>
      <c r="AA41" s="12"/>
      <c r="AB41" s="12"/>
      <c r="AC41" s="12"/>
      <c r="AD41" s="12"/>
      <c r="AE41" s="12"/>
      <c r="AF41" s="12"/>
      <c r="AG41" s="12"/>
      <c r="AH41" s="14">
        <v>1916.0</v>
      </c>
      <c r="AI41" s="14">
        <v>1941.0</v>
      </c>
    </row>
    <row r="42">
      <c r="A42" s="6" t="s">
        <v>169</v>
      </c>
      <c r="B42" s="7" t="s">
        <v>170</v>
      </c>
      <c r="C42" s="6" t="s">
        <v>171</v>
      </c>
      <c r="D42" s="8" t="s">
        <v>172</v>
      </c>
      <c r="E42" s="8">
        <v>13884.0</v>
      </c>
      <c r="F42" s="9"/>
      <c r="G42" s="9"/>
      <c r="H42" s="10"/>
      <c r="I42" s="10"/>
      <c r="J42" s="10"/>
      <c r="K42" s="11"/>
      <c r="L42" s="11"/>
      <c r="M42" s="11"/>
      <c r="N42" s="11"/>
      <c r="O42" s="11"/>
      <c r="P42" s="26">
        <v>1928.0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4">
        <v>1928.0</v>
      </c>
      <c r="AI42" s="14">
        <v>1931.0</v>
      </c>
    </row>
    <row r="43">
      <c r="A43" s="6" t="s">
        <v>173</v>
      </c>
      <c r="B43" s="7" t="s">
        <v>174</v>
      </c>
      <c r="C43" s="6" t="s">
        <v>175</v>
      </c>
      <c r="D43" s="8" t="s">
        <v>176</v>
      </c>
      <c r="E43" s="8">
        <v>26321.0</v>
      </c>
      <c r="F43" s="9"/>
      <c r="G43" s="9"/>
      <c r="H43" s="10"/>
      <c r="I43" s="10"/>
      <c r="J43" s="10"/>
      <c r="K43" s="11"/>
      <c r="L43" s="11"/>
      <c r="M43" s="11"/>
      <c r="N43" s="11"/>
      <c r="O43" s="11"/>
      <c r="P43" s="11"/>
      <c r="Q43" s="12"/>
      <c r="R43" s="27">
        <v>1936.0</v>
      </c>
      <c r="S43" s="12"/>
      <c r="T43" s="28">
        <v>1936.0</v>
      </c>
      <c r="U43" s="12"/>
      <c r="V43" s="29">
        <v>1942.0</v>
      </c>
      <c r="W43" s="14" t="s">
        <v>29</v>
      </c>
      <c r="X43" s="22">
        <v>1942.0</v>
      </c>
      <c r="Y43" s="14" t="s">
        <v>29</v>
      </c>
      <c r="Z43" s="23">
        <v>1942.0</v>
      </c>
      <c r="AA43" s="14" t="s">
        <v>29</v>
      </c>
      <c r="AB43" s="13">
        <v>1942.0</v>
      </c>
      <c r="AC43" s="14" t="s">
        <v>29</v>
      </c>
      <c r="AD43" s="15">
        <v>1942.0</v>
      </c>
      <c r="AE43" s="14" t="s">
        <v>29</v>
      </c>
      <c r="AF43" s="36">
        <v>1942.0</v>
      </c>
      <c r="AG43" s="14" t="s">
        <v>29</v>
      </c>
      <c r="AH43" s="14">
        <v>1936.0</v>
      </c>
      <c r="AI43" s="14">
        <v>1942.0</v>
      </c>
    </row>
    <row r="44">
      <c r="A44" s="6" t="s">
        <v>177</v>
      </c>
      <c r="B44" s="7" t="s">
        <v>178</v>
      </c>
      <c r="C44" s="6" t="s">
        <v>179</v>
      </c>
      <c r="D44" s="8" t="s">
        <v>180</v>
      </c>
      <c r="E44" s="8">
        <v>18101.0</v>
      </c>
      <c r="F44" s="34"/>
      <c r="G44" s="34"/>
      <c r="H44" s="10"/>
      <c r="I44" s="10"/>
      <c r="J44" s="10"/>
      <c r="K44" s="11"/>
      <c r="L44" s="31">
        <v>1919.0</v>
      </c>
      <c r="M44" s="11"/>
      <c r="N44" s="20">
        <v>1919.0</v>
      </c>
      <c r="O44" s="11"/>
      <c r="P44" s="26">
        <v>1919.0</v>
      </c>
      <c r="Q44" s="12"/>
      <c r="R44" s="27">
        <v>1919.0</v>
      </c>
      <c r="S44" s="12"/>
      <c r="T44" s="28">
        <v>1919.0</v>
      </c>
      <c r="U44" s="12"/>
      <c r="V44" s="29">
        <v>1942.0</v>
      </c>
      <c r="W44" s="14" t="s">
        <v>29</v>
      </c>
      <c r="X44" s="22">
        <v>1942.0</v>
      </c>
      <c r="Y44" s="14" t="s">
        <v>29</v>
      </c>
      <c r="Z44" s="12"/>
      <c r="AA44" s="12"/>
      <c r="AB44" s="12"/>
      <c r="AC44" s="12"/>
      <c r="AD44" s="12"/>
      <c r="AE44" s="12"/>
      <c r="AF44" s="12"/>
      <c r="AG44" s="12"/>
      <c r="AH44" s="14">
        <v>1919.0</v>
      </c>
      <c r="AI44" s="14">
        <v>1942.0</v>
      </c>
    </row>
    <row r="45">
      <c r="A45" s="6" t="s">
        <v>181</v>
      </c>
      <c r="B45" s="7" t="s">
        <v>182</v>
      </c>
      <c r="C45" s="6" t="s">
        <v>183</v>
      </c>
      <c r="D45" s="8" t="s">
        <v>184</v>
      </c>
      <c r="E45" s="8">
        <v>13312.0</v>
      </c>
      <c r="F45" s="9"/>
      <c r="G45" s="9"/>
      <c r="H45" s="10"/>
      <c r="I45" s="10"/>
      <c r="J45" s="10"/>
      <c r="K45" s="11"/>
      <c r="L45" s="11"/>
      <c r="M45" s="11"/>
      <c r="N45" s="11"/>
      <c r="O45" s="11"/>
      <c r="P45" s="26">
        <v>1925.0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4">
        <v>1925.0</v>
      </c>
      <c r="AI45" s="14">
        <v>1931.0</v>
      </c>
    </row>
    <row r="46">
      <c r="A46" s="6" t="s">
        <v>185</v>
      </c>
      <c r="B46" s="7" t="s">
        <v>186</v>
      </c>
      <c r="C46" s="6" t="s">
        <v>187</v>
      </c>
      <c r="D46" s="8" t="s">
        <v>188</v>
      </c>
      <c r="E46" s="8">
        <v>13817.0</v>
      </c>
      <c r="F46" s="9"/>
      <c r="G46" s="9"/>
      <c r="H46" s="10"/>
      <c r="I46" s="10"/>
      <c r="J46" s="21"/>
      <c r="K46" s="11"/>
      <c r="L46" s="31">
        <v>1916.0</v>
      </c>
      <c r="M46" s="11"/>
      <c r="N46" s="20">
        <v>1916.0</v>
      </c>
      <c r="O46" s="11"/>
      <c r="P46" s="26">
        <v>1916.0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4">
        <v>1916.0</v>
      </c>
      <c r="AI46" s="14">
        <v>1931.0</v>
      </c>
    </row>
    <row r="47">
      <c r="A47" s="6" t="s">
        <v>189</v>
      </c>
      <c r="B47" s="7" t="s">
        <v>190</v>
      </c>
      <c r="C47" s="6" t="s">
        <v>191</v>
      </c>
      <c r="D47" s="33" t="s">
        <v>192</v>
      </c>
      <c r="E47" s="33">
        <v>15424.0</v>
      </c>
      <c r="F47" s="9"/>
      <c r="G47" s="9"/>
      <c r="H47" s="10"/>
      <c r="I47" s="10"/>
      <c r="J47" s="10"/>
      <c r="K47" s="11"/>
      <c r="L47" s="11"/>
      <c r="M47" s="11"/>
      <c r="N47" s="11"/>
      <c r="O47" s="11"/>
      <c r="P47" s="26">
        <v>1929.0</v>
      </c>
      <c r="Q47" s="12"/>
      <c r="R47" s="27">
        <v>1929.0</v>
      </c>
      <c r="S47" s="12"/>
      <c r="T47" s="28">
        <v>1929.0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4">
        <v>1929.0</v>
      </c>
      <c r="AI47" s="14">
        <v>1943.0</v>
      </c>
    </row>
    <row r="48">
      <c r="A48" s="6" t="s">
        <v>193</v>
      </c>
      <c r="B48" s="7" t="s">
        <v>194</v>
      </c>
      <c r="C48" s="6" t="s">
        <v>195</v>
      </c>
      <c r="D48" s="8" t="s">
        <v>196</v>
      </c>
      <c r="E48" s="8">
        <v>28481.0</v>
      </c>
      <c r="F48" s="9"/>
      <c r="G48" s="9"/>
      <c r="H48" s="10"/>
      <c r="I48" s="10"/>
      <c r="J48" s="10"/>
      <c r="K48" s="11"/>
      <c r="L48" s="31">
        <v>1920.0</v>
      </c>
      <c r="M48" s="11"/>
      <c r="N48" s="20">
        <v>1920.0</v>
      </c>
      <c r="O48" s="11"/>
      <c r="P48" s="26">
        <v>1920.0</v>
      </c>
      <c r="Q48" s="12"/>
      <c r="R48" s="27">
        <v>1920.0</v>
      </c>
      <c r="S48" s="12"/>
      <c r="T48" s="28">
        <v>1920.0</v>
      </c>
      <c r="U48" s="12"/>
      <c r="V48" s="29">
        <v>1920.0</v>
      </c>
      <c r="W48" s="12"/>
      <c r="X48" s="22">
        <v>1946.0</v>
      </c>
      <c r="Y48" s="14" t="s">
        <v>29</v>
      </c>
      <c r="Z48" s="23">
        <v>1946.0</v>
      </c>
      <c r="AA48" s="14" t="s">
        <v>29</v>
      </c>
      <c r="AB48" s="13">
        <v>1946.0</v>
      </c>
      <c r="AC48" s="14" t="s">
        <v>29</v>
      </c>
      <c r="AD48" s="15">
        <v>1946.0</v>
      </c>
      <c r="AE48" s="14" t="s">
        <v>29</v>
      </c>
      <c r="AF48" s="36">
        <v>1946.0</v>
      </c>
      <c r="AG48" s="14" t="s">
        <v>29</v>
      </c>
      <c r="AH48" s="14">
        <v>1920.0</v>
      </c>
      <c r="AI48" s="14">
        <v>1946.0</v>
      </c>
    </row>
    <row r="49">
      <c r="A49" s="6" t="s">
        <v>197</v>
      </c>
      <c r="B49" s="7" t="s">
        <v>198</v>
      </c>
      <c r="C49" s="6" t="s">
        <v>199</v>
      </c>
      <c r="D49" s="8" t="s">
        <v>200</v>
      </c>
      <c r="E49" s="8">
        <v>15372.0</v>
      </c>
      <c r="F49" s="9"/>
      <c r="G49" s="9"/>
      <c r="H49" s="10"/>
      <c r="I49" s="10"/>
      <c r="J49" s="10"/>
      <c r="K49" s="11"/>
      <c r="L49" s="11"/>
      <c r="M49" s="11"/>
      <c r="N49" s="11"/>
      <c r="O49" s="11"/>
      <c r="P49" s="11"/>
      <c r="Q49" s="12"/>
      <c r="R49" s="27">
        <v>1936.0</v>
      </c>
      <c r="S49" s="12"/>
      <c r="T49" s="28">
        <v>1936.0</v>
      </c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4">
        <v>1936.0</v>
      </c>
      <c r="AI49" s="14">
        <v>1942.0</v>
      </c>
    </row>
    <row r="50">
      <c r="A50" s="6" t="s">
        <v>201</v>
      </c>
      <c r="B50" s="7" t="s">
        <v>202</v>
      </c>
      <c r="C50" s="6" t="s">
        <v>203</v>
      </c>
      <c r="D50" s="8" t="s">
        <v>204</v>
      </c>
      <c r="E50" s="8">
        <v>23813.0</v>
      </c>
      <c r="F50" s="9"/>
      <c r="G50" s="9"/>
      <c r="H50" s="10"/>
      <c r="I50" s="10"/>
      <c r="J50" s="10"/>
      <c r="K50" s="11"/>
      <c r="L50" s="11"/>
      <c r="M50" s="11"/>
      <c r="N50" s="11"/>
      <c r="O50" s="11"/>
      <c r="P50" s="11"/>
      <c r="Q50" s="12"/>
      <c r="R50" s="27">
        <v>1931.0</v>
      </c>
      <c r="S50" s="12"/>
      <c r="T50" s="28">
        <v>1931.0</v>
      </c>
      <c r="U50" s="12"/>
      <c r="V50" s="29">
        <v>1931.0</v>
      </c>
      <c r="W50" s="12"/>
      <c r="X50" s="22">
        <v>1931.0</v>
      </c>
      <c r="Y50" s="12"/>
      <c r="Z50" s="12"/>
      <c r="AA50" s="12"/>
      <c r="AB50" s="12"/>
      <c r="AC50" s="12"/>
      <c r="AD50" s="15">
        <v>1948.0</v>
      </c>
      <c r="AE50" s="14" t="s">
        <v>29</v>
      </c>
      <c r="AF50" s="14"/>
      <c r="AG50" s="14"/>
      <c r="AH50" s="14">
        <v>1931.0</v>
      </c>
      <c r="AI50" s="14">
        <v>1948.0</v>
      </c>
    </row>
    <row r="51">
      <c r="A51" s="6" t="s">
        <v>205</v>
      </c>
      <c r="B51" s="7" t="s">
        <v>206</v>
      </c>
      <c r="C51" s="6" t="s">
        <v>207</v>
      </c>
      <c r="D51" s="8" t="s">
        <v>208</v>
      </c>
      <c r="E51" s="8">
        <v>17846.0</v>
      </c>
      <c r="F51" s="9"/>
      <c r="G51" s="9"/>
      <c r="H51" s="10"/>
      <c r="I51" s="10"/>
      <c r="J51" s="10"/>
      <c r="K51" s="11"/>
      <c r="L51" s="11"/>
      <c r="M51" s="11"/>
      <c r="N51" s="11"/>
      <c r="O51" s="11"/>
      <c r="P51" s="11"/>
      <c r="Q51" s="12"/>
      <c r="R51" s="27">
        <v>1931.0</v>
      </c>
      <c r="S51" s="12"/>
      <c r="T51" s="28">
        <v>1931.0</v>
      </c>
      <c r="U51" s="12"/>
      <c r="V51" s="29">
        <v>1931.0</v>
      </c>
      <c r="W51" s="12"/>
      <c r="X51" s="22">
        <v>1931.0</v>
      </c>
      <c r="Y51" s="12"/>
      <c r="Z51" s="12"/>
      <c r="AA51" s="12"/>
      <c r="AB51" s="12"/>
      <c r="AC51" s="12"/>
      <c r="AD51" s="12"/>
      <c r="AE51" s="12"/>
      <c r="AF51" s="12"/>
      <c r="AG51" s="12"/>
      <c r="AH51" s="14">
        <v>1931.0</v>
      </c>
      <c r="AI51" s="14">
        <v>1947.0</v>
      </c>
    </row>
    <row r="52">
      <c r="A52" s="6" t="s">
        <v>209</v>
      </c>
      <c r="B52" s="7" t="s">
        <v>210</v>
      </c>
      <c r="C52" s="6" t="s">
        <v>211</v>
      </c>
      <c r="D52" s="8" t="s">
        <v>212</v>
      </c>
      <c r="E52" s="8">
        <v>24571.0</v>
      </c>
      <c r="F52" s="9"/>
      <c r="G52" s="9"/>
      <c r="H52" s="10"/>
      <c r="I52" s="10"/>
      <c r="J52" s="10"/>
      <c r="K52" s="11"/>
      <c r="L52" s="11"/>
      <c r="M52" s="11"/>
      <c r="N52" s="11"/>
      <c r="O52" s="11"/>
      <c r="P52" s="26">
        <v>1928.0</v>
      </c>
      <c r="Q52" s="12"/>
      <c r="R52" s="27">
        <v>1928.0</v>
      </c>
      <c r="S52" s="12"/>
      <c r="T52" s="28">
        <v>1928.0</v>
      </c>
      <c r="U52" s="12"/>
      <c r="V52" s="29">
        <v>1928.0</v>
      </c>
      <c r="W52" s="12"/>
      <c r="X52" s="12"/>
      <c r="Y52" s="12"/>
      <c r="Z52" s="23">
        <v>1950.0</v>
      </c>
      <c r="AA52" s="14" t="s">
        <v>29</v>
      </c>
      <c r="AB52" s="13">
        <v>1950.0</v>
      </c>
      <c r="AC52" s="14" t="s">
        <v>29</v>
      </c>
      <c r="AD52" s="15">
        <v>1950.0</v>
      </c>
      <c r="AE52" s="14" t="s">
        <v>29</v>
      </c>
      <c r="AF52" s="14"/>
      <c r="AG52" s="14"/>
      <c r="AH52" s="14">
        <v>1928.0</v>
      </c>
      <c r="AI52" s="14">
        <v>1950.0</v>
      </c>
    </row>
    <row r="53">
      <c r="A53" s="6" t="s">
        <v>213</v>
      </c>
      <c r="B53" s="7" t="s">
        <v>214</v>
      </c>
      <c r="C53" s="6" t="s">
        <v>215</v>
      </c>
      <c r="D53" s="33" t="s">
        <v>216</v>
      </c>
      <c r="E53" s="33">
        <v>18465.0</v>
      </c>
      <c r="F53" s="9"/>
      <c r="G53" s="9"/>
      <c r="H53" s="10"/>
      <c r="I53" s="10"/>
      <c r="J53" s="10"/>
      <c r="K53" s="11"/>
      <c r="L53" s="11"/>
      <c r="M53" s="11"/>
      <c r="N53" s="11"/>
      <c r="O53" s="11"/>
      <c r="P53" s="21"/>
      <c r="Q53" s="12"/>
      <c r="R53" s="27">
        <v>1932.0</v>
      </c>
      <c r="S53" s="12"/>
      <c r="T53" s="28">
        <v>1932.0</v>
      </c>
      <c r="U53" s="12"/>
      <c r="V53" s="29">
        <v>1932.0</v>
      </c>
      <c r="W53" s="12"/>
      <c r="X53" s="22">
        <v>1932.0</v>
      </c>
      <c r="Y53" s="12"/>
      <c r="Z53" s="12"/>
      <c r="AA53" s="12"/>
      <c r="AB53" s="12"/>
      <c r="AC53" s="12"/>
      <c r="AD53" s="12"/>
      <c r="AE53" s="12"/>
      <c r="AF53" s="12"/>
      <c r="AG53" s="12"/>
      <c r="AH53" s="14">
        <v>1932.0</v>
      </c>
      <c r="AI53" s="14">
        <v>1947.0</v>
      </c>
    </row>
    <row r="54">
      <c r="A54" s="37" t="s">
        <v>217</v>
      </c>
      <c r="B54" s="7" t="s">
        <v>218</v>
      </c>
      <c r="C54" s="6" t="s">
        <v>219</v>
      </c>
      <c r="D54" s="33" t="s">
        <v>220</v>
      </c>
      <c r="E54" s="33">
        <v>24273.0</v>
      </c>
      <c r="F54" s="9"/>
      <c r="G54" s="9"/>
      <c r="H54" s="10"/>
      <c r="I54" s="10"/>
      <c r="J54" s="10"/>
      <c r="K54" s="11"/>
      <c r="L54" s="11"/>
      <c r="M54" s="11"/>
      <c r="N54" s="21"/>
      <c r="O54" s="11"/>
      <c r="P54" s="21"/>
      <c r="Q54" s="12"/>
      <c r="R54" s="27">
        <v>1936.0</v>
      </c>
      <c r="S54" s="12"/>
      <c r="T54" s="28">
        <v>1936.0</v>
      </c>
      <c r="U54" s="12"/>
      <c r="V54" s="29">
        <v>1936.0</v>
      </c>
      <c r="W54" s="12"/>
      <c r="X54" s="22">
        <v>1936.0</v>
      </c>
      <c r="Y54" s="12"/>
      <c r="Z54" s="23">
        <v>1950.0</v>
      </c>
      <c r="AA54" s="14" t="s">
        <v>29</v>
      </c>
      <c r="AB54" s="13">
        <v>1950.0</v>
      </c>
      <c r="AC54" s="14" t="s">
        <v>29</v>
      </c>
      <c r="AD54" s="15">
        <v>1950.0</v>
      </c>
      <c r="AE54" s="14" t="s">
        <v>29</v>
      </c>
      <c r="AF54" s="14"/>
      <c r="AG54" s="14"/>
      <c r="AH54" s="14">
        <v>1936.0</v>
      </c>
      <c r="AI54" s="14">
        <v>1950.0</v>
      </c>
    </row>
    <row r="55">
      <c r="A55" s="6" t="s">
        <v>221</v>
      </c>
      <c r="B55" s="7" t="s">
        <v>222</v>
      </c>
      <c r="C55" s="6" t="s">
        <v>223</v>
      </c>
      <c r="D55" s="33" t="s">
        <v>224</v>
      </c>
      <c r="E55" s="33">
        <v>24753.0</v>
      </c>
      <c r="F55" s="9"/>
      <c r="G55" s="9"/>
      <c r="H55" s="10"/>
      <c r="I55" s="10"/>
      <c r="J55" s="10"/>
      <c r="K55" s="11"/>
      <c r="L55" s="11"/>
      <c r="M55" s="11"/>
      <c r="N55" s="20">
        <v>1924.0</v>
      </c>
      <c r="O55" s="11"/>
      <c r="P55" s="26">
        <v>1927.0</v>
      </c>
      <c r="Q55" s="12"/>
      <c r="R55" s="27">
        <v>1927.0</v>
      </c>
      <c r="S55" s="12"/>
      <c r="T55" s="28">
        <v>1927.0</v>
      </c>
      <c r="U55" s="12"/>
      <c r="V55" s="29">
        <v>1927.0</v>
      </c>
      <c r="W55" s="12"/>
      <c r="X55" s="22">
        <v>1927.0</v>
      </c>
      <c r="Y55" s="12"/>
      <c r="Z55" s="23">
        <v>1952.0</v>
      </c>
      <c r="AA55" s="14" t="s">
        <v>29</v>
      </c>
      <c r="AB55" s="13">
        <v>1952.0</v>
      </c>
      <c r="AC55" s="14" t="s">
        <v>29</v>
      </c>
      <c r="AD55" s="15">
        <v>1952.0</v>
      </c>
      <c r="AE55" s="14" t="s">
        <v>29</v>
      </c>
      <c r="AF55" s="14"/>
      <c r="AG55" s="14"/>
      <c r="AH55" s="14">
        <v>1924.0</v>
      </c>
      <c r="AI55" s="14">
        <v>1952.0</v>
      </c>
    </row>
    <row r="56">
      <c r="A56" s="6" t="s">
        <v>225</v>
      </c>
      <c r="B56" s="7" t="s">
        <v>226</v>
      </c>
      <c r="C56" s="6" t="s">
        <v>227</v>
      </c>
      <c r="D56" s="8" t="s">
        <v>228</v>
      </c>
      <c r="E56" s="8">
        <v>24853.0</v>
      </c>
      <c r="F56" s="9"/>
      <c r="G56" s="9"/>
      <c r="H56" s="10"/>
      <c r="I56" s="10"/>
      <c r="J56" s="10"/>
      <c r="K56" s="11"/>
      <c r="L56" s="11"/>
      <c r="M56" s="11"/>
      <c r="N56" s="11"/>
      <c r="O56" s="11"/>
      <c r="P56" s="26">
        <v>1927.0</v>
      </c>
      <c r="Q56" s="12"/>
      <c r="R56" s="27">
        <v>1927.0</v>
      </c>
      <c r="S56" s="12"/>
      <c r="T56" s="28">
        <v>1927.0</v>
      </c>
      <c r="U56" s="12"/>
      <c r="V56" s="29">
        <v>1927.0</v>
      </c>
      <c r="W56" s="12"/>
      <c r="X56" s="22">
        <v>1927.0</v>
      </c>
      <c r="Y56" s="12"/>
      <c r="Z56" s="23">
        <v>1951.0</v>
      </c>
      <c r="AA56" s="14" t="s">
        <v>29</v>
      </c>
      <c r="AB56" s="13">
        <v>1951.0</v>
      </c>
      <c r="AC56" s="14" t="s">
        <v>29</v>
      </c>
      <c r="AD56" s="15">
        <v>1951.0</v>
      </c>
      <c r="AE56" s="14" t="s">
        <v>29</v>
      </c>
      <c r="AF56" s="14"/>
      <c r="AG56" s="14"/>
      <c r="AH56" s="14">
        <v>1927.0</v>
      </c>
      <c r="AI56" s="14">
        <v>1951.0</v>
      </c>
    </row>
    <row r="57">
      <c r="A57" s="6" t="s">
        <v>229</v>
      </c>
      <c r="B57" s="7" t="s">
        <v>230</v>
      </c>
      <c r="C57" s="6" t="s">
        <v>231</v>
      </c>
      <c r="D57" s="33" t="s">
        <v>232</v>
      </c>
      <c r="E57" s="33">
        <v>21260.0</v>
      </c>
      <c r="F57" s="9"/>
      <c r="G57" s="9"/>
      <c r="H57" s="10"/>
      <c r="I57" s="10"/>
      <c r="J57" s="10"/>
      <c r="K57" s="11"/>
      <c r="L57" s="11"/>
      <c r="M57" s="11"/>
      <c r="N57" s="11"/>
      <c r="O57" s="11"/>
      <c r="P57" s="11"/>
      <c r="Q57" s="12"/>
      <c r="R57" s="12"/>
      <c r="S57" s="12"/>
      <c r="T57" s="28">
        <v>1941.0</v>
      </c>
      <c r="U57" s="12"/>
      <c r="V57" s="29">
        <v>1941.0</v>
      </c>
      <c r="W57" s="12"/>
      <c r="X57" s="22">
        <v>1941.0</v>
      </c>
      <c r="Y57" s="12"/>
      <c r="Z57" s="23">
        <v>1952.0</v>
      </c>
      <c r="AA57" s="14" t="s">
        <v>29</v>
      </c>
      <c r="AB57" s="14"/>
      <c r="AC57" s="14"/>
      <c r="AD57" s="14"/>
      <c r="AE57" s="14"/>
      <c r="AF57" s="14"/>
      <c r="AG57" s="14"/>
      <c r="AH57" s="14">
        <v>1941.0</v>
      </c>
      <c r="AI57" s="14">
        <v>1952.0</v>
      </c>
    </row>
    <row r="58">
      <c r="A58" s="6" t="s">
        <v>233</v>
      </c>
      <c r="B58" s="7" t="s">
        <v>234</v>
      </c>
      <c r="C58" s="6" t="s">
        <v>235</v>
      </c>
      <c r="D58" s="8" t="s">
        <v>236</v>
      </c>
      <c r="E58" s="8">
        <v>24943.0</v>
      </c>
      <c r="F58" s="34"/>
      <c r="G58" s="34"/>
      <c r="H58" s="10"/>
      <c r="I58" s="10"/>
      <c r="J58" s="10"/>
      <c r="K58" s="11"/>
      <c r="L58" s="11"/>
      <c r="M58" s="11"/>
      <c r="N58" s="11"/>
      <c r="O58" s="11"/>
      <c r="P58" s="11"/>
      <c r="Q58" s="12"/>
      <c r="R58" s="27">
        <v>1931.0</v>
      </c>
      <c r="S58" s="12"/>
      <c r="T58" s="28">
        <v>1931.0</v>
      </c>
      <c r="U58" s="12"/>
      <c r="V58" s="29">
        <v>1931.0</v>
      </c>
      <c r="W58" s="12"/>
      <c r="X58" s="22">
        <v>1931.0</v>
      </c>
      <c r="Y58" s="12"/>
      <c r="Z58" s="23">
        <v>1954.0</v>
      </c>
      <c r="AA58" s="14" t="s">
        <v>29</v>
      </c>
      <c r="AB58" s="13">
        <v>1954.0</v>
      </c>
      <c r="AC58" s="14" t="s">
        <v>29</v>
      </c>
      <c r="AD58" s="15">
        <v>1954.0</v>
      </c>
      <c r="AE58" s="14" t="s">
        <v>29</v>
      </c>
      <c r="AF58" s="14"/>
      <c r="AG58" s="14"/>
      <c r="AH58" s="14">
        <v>1931.0</v>
      </c>
      <c r="AI58" s="14">
        <v>1954.0</v>
      </c>
    </row>
    <row r="59">
      <c r="A59" s="6" t="s">
        <v>237</v>
      </c>
      <c r="B59" s="7" t="s">
        <v>238</v>
      </c>
      <c r="C59" s="6" t="s">
        <v>239</v>
      </c>
      <c r="D59" s="8" t="s">
        <v>240</v>
      </c>
      <c r="E59" s="8">
        <v>20467.0</v>
      </c>
      <c r="F59" s="9"/>
      <c r="G59" s="9"/>
      <c r="H59" s="10"/>
      <c r="I59" s="10"/>
      <c r="J59" s="10"/>
      <c r="K59" s="11"/>
      <c r="L59" s="11"/>
      <c r="M59" s="11"/>
      <c r="N59" s="11"/>
      <c r="O59" s="11"/>
      <c r="P59" s="11"/>
      <c r="Q59" s="12"/>
      <c r="R59" s="12"/>
      <c r="S59" s="12"/>
      <c r="T59" s="28">
        <v>1941.0</v>
      </c>
      <c r="U59" s="12"/>
      <c r="V59" s="29">
        <v>1941.0</v>
      </c>
      <c r="W59" s="12"/>
      <c r="X59" s="22">
        <v>1941.0</v>
      </c>
      <c r="Y59" s="12"/>
      <c r="Z59" s="23">
        <v>1954.0</v>
      </c>
      <c r="AA59" s="14" t="s">
        <v>29</v>
      </c>
      <c r="AB59" s="14"/>
      <c r="AC59" s="14"/>
      <c r="AD59" s="14"/>
      <c r="AE59" s="14"/>
      <c r="AF59" s="14"/>
      <c r="AG59" s="14"/>
      <c r="AH59" s="14">
        <v>1941.0</v>
      </c>
      <c r="AI59" s="14">
        <v>1954.0</v>
      </c>
    </row>
    <row r="60">
      <c r="A60" s="6" t="s">
        <v>241</v>
      </c>
      <c r="B60" s="7" t="s">
        <v>242</v>
      </c>
      <c r="C60" s="6" t="s">
        <v>243</v>
      </c>
      <c r="D60" s="8" t="s">
        <v>244</v>
      </c>
      <c r="E60" s="8">
        <v>20035.0</v>
      </c>
      <c r="F60" s="9"/>
      <c r="G60" s="9"/>
      <c r="H60" s="10"/>
      <c r="I60" s="10"/>
      <c r="J60" s="10"/>
      <c r="K60" s="11"/>
      <c r="L60" s="11"/>
      <c r="M60" s="11"/>
      <c r="N60" s="11"/>
      <c r="O60" s="11"/>
      <c r="P60" s="11"/>
      <c r="Q60" s="12"/>
      <c r="R60" s="12"/>
      <c r="S60" s="12"/>
      <c r="T60" s="28">
        <v>1940.0</v>
      </c>
      <c r="U60" s="12"/>
      <c r="V60" s="29">
        <v>1940.0</v>
      </c>
      <c r="W60" s="12"/>
      <c r="X60" s="22">
        <v>1940.0</v>
      </c>
      <c r="Y60" s="12"/>
      <c r="Z60" s="12"/>
      <c r="AA60" s="12"/>
      <c r="AB60" s="12"/>
      <c r="AC60" s="12"/>
      <c r="AD60" s="12"/>
      <c r="AE60" s="12"/>
      <c r="AF60" s="12"/>
      <c r="AG60" s="12"/>
      <c r="AH60" s="14">
        <v>1940.0</v>
      </c>
      <c r="AI60" s="14">
        <v>1947.0</v>
      </c>
    </row>
    <row r="61">
      <c r="A61" s="6" t="s">
        <v>245</v>
      </c>
      <c r="B61" s="7" t="s">
        <v>246</v>
      </c>
      <c r="C61" s="6" t="s">
        <v>247</v>
      </c>
      <c r="D61" s="8" t="s">
        <v>248</v>
      </c>
      <c r="E61" s="8">
        <v>24884.0</v>
      </c>
      <c r="F61" s="9"/>
      <c r="G61" s="9"/>
      <c r="H61" s="10"/>
      <c r="I61" s="10"/>
      <c r="J61" s="10"/>
      <c r="K61" s="11"/>
      <c r="L61" s="11"/>
      <c r="M61" s="11"/>
      <c r="N61" s="11"/>
      <c r="O61" s="11"/>
      <c r="P61" s="26">
        <v>1928.0</v>
      </c>
      <c r="Q61" s="12"/>
      <c r="R61" s="27">
        <v>1928.0</v>
      </c>
      <c r="S61" s="12"/>
      <c r="T61" s="28">
        <v>1928.0</v>
      </c>
      <c r="U61" s="12"/>
      <c r="V61" s="29">
        <v>1928.0</v>
      </c>
      <c r="W61" s="12"/>
      <c r="X61" s="12"/>
      <c r="Y61" s="12"/>
      <c r="Z61" s="23">
        <v>1928.0</v>
      </c>
      <c r="AA61" s="14"/>
      <c r="AB61" s="13">
        <v>1957.0</v>
      </c>
      <c r="AC61" s="14" t="s">
        <v>29</v>
      </c>
      <c r="AD61" s="15">
        <v>1957.0</v>
      </c>
      <c r="AE61" s="14" t="s">
        <v>29</v>
      </c>
      <c r="AF61" s="14"/>
      <c r="AG61" s="14"/>
      <c r="AH61" s="14">
        <v>1928.0</v>
      </c>
      <c r="AI61" s="14">
        <v>1957.0</v>
      </c>
    </row>
    <row r="62">
      <c r="A62" s="6" t="s">
        <v>249</v>
      </c>
      <c r="B62" s="7" t="s">
        <v>250</v>
      </c>
      <c r="C62" s="6" t="s">
        <v>251</v>
      </c>
      <c r="D62" s="8" t="s">
        <v>252</v>
      </c>
      <c r="E62" s="8">
        <v>26897.0</v>
      </c>
      <c r="F62" s="9"/>
      <c r="G62" s="9"/>
      <c r="H62" s="10"/>
      <c r="I62" s="10"/>
      <c r="J62" s="10"/>
      <c r="K62" s="11"/>
      <c r="L62" s="11"/>
      <c r="M62" s="11"/>
      <c r="N62" s="11"/>
      <c r="O62" s="11"/>
      <c r="P62" s="11"/>
      <c r="Q62" s="12"/>
      <c r="R62" s="12"/>
      <c r="S62" s="12"/>
      <c r="T62" s="12"/>
      <c r="U62" s="12"/>
      <c r="V62" s="29">
        <v>1942.0</v>
      </c>
      <c r="W62" s="12"/>
      <c r="X62" s="22">
        <v>1942.0</v>
      </c>
      <c r="Y62" s="12"/>
      <c r="Z62" s="23">
        <v>1942.0</v>
      </c>
      <c r="AA62" s="14"/>
      <c r="AB62" s="13">
        <v>1942.0</v>
      </c>
      <c r="AC62" s="14" t="s">
        <v>29</v>
      </c>
      <c r="AD62" s="15">
        <v>1956.0</v>
      </c>
      <c r="AE62" s="14" t="s">
        <v>29</v>
      </c>
      <c r="AF62" s="36">
        <v>1956.0</v>
      </c>
      <c r="AG62" s="14" t="s">
        <v>29</v>
      </c>
      <c r="AH62" s="14">
        <v>1942.0</v>
      </c>
      <c r="AI62" s="14">
        <v>1956.0</v>
      </c>
    </row>
    <row r="63">
      <c r="A63" s="6" t="s">
        <v>253</v>
      </c>
      <c r="B63" s="7" t="s">
        <v>254</v>
      </c>
      <c r="C63" s="6" t="s">
        <v>255</v>
      </c>
      <c r="D63" s="8" t="s">
        <v>256</v>
      </c>
      <c r="E63" s="8">
        <v>24047.0</v>
      </c>
      <c r="F63" s="9"/>
      <c r="G63" s="9"/>
      <c r="H63" s="10"/>
      <c r="I63" s="10"/>
      <c r="J63" s="10"/>
      <c r="K63" s="11"/>
      <c r="L63" s="11"/>
      <c r="M63" s="11"/>
      <c r="N63" s="11"/>
      <c r="O63" s="11"/>
      <c r="P63" s="11"/>
      <c r="Q63" s="12"/>
      <c r="R63" s="27">
        <v>1939.0</v>
      </c>
      <c r="S63" s="12"/>
      <c r="T63" s="28">
        <v>1939.0</v>
      </c>
      <c r="U63" s="12"/>
      <c r="V63" s="29">
        <v>1939.0</v>
      </c>
      <c r="W63" s="12"/>
      <c r="X63" s="22">
        <v>1939.0</v>
      </c>
      <c r="Y63" s="12"/>
      <c r="Z63" s="23">
        <v>1939.0</v>
      </c>
      <c r="AA63" s="14"/>
      <c r="AB63" s="13">
        <v>1958.0</v>
      </c>
      <c r="AC63" s="14" t="s">
        <v>29</v>
      </c>
      <c r="AD63" s="15">
        <v>1958.0</v>
      </c>
      <c r="AE63" s="14" t="s">
        <v>29</v>
      </c>
      <c r="AF63" s="14"/>
      <c r="AG63" s="14"/>
      <c r="AH63" s="14">
        <v>1939.0</v>
      </c>
      <c r="AI63" s="14">
        <v>1958.0</v>
      </c>
    </row>
    <row r="64">
      <c r="A64" s="6" t="s">
        <v>257</v>
      </c>
      <c r="B64" s="7" t="s">
        <v>258</v>
      </c>
      <c r="C64" s="6" t="s">
        <v>259</v>
      </c>
      <c r="D64" s="8" t="s">
        <v>260</v>
      </c>
      <c r="E64" s="8">
        <v>31505.0</v>
      </c>
      <c r="F64" s="34"/>
      <c r="G64" s="34"/>
      <c r="H64" s="10"/>
      <c r="I64" s="10"/>
      <c r="J64" s="10"/>
      <c r="K64" s="11"/>
      <c r="L64" s="11"/>
      <c r="M64" s="11"/>
      <c r="N64" s="11"/>
      <c r="O64" s="11"/>
      <c r="P64" s="11"/>
      <c r="Q64" s="12"/>
      <c r="R64" s="27">
        <v>1938.0</v>
      </c>
      <c r="S64" s="12"/>
      <c r="T64" s="28">
        <v>1938.0</v>
      </c>
      <c r="U64" s="12"/>
      <c r="V64" s="29">
        <v>1938.0</v>
      </c>
      <c r="W64" s="12"/>
      <c r="X64" s="12"/>
      <c r="Y64" s="12"/>
      <c r="Z64" s="23">
        <v>1938.0</v>
      </c>
      <c r="AA64" s="14"/>
      <c r="AB64" s="14"/>
      <c r="AC64" s="14"/>
      <c r="AD64" s="15">
        <v>1957.0</v>
      </c>
      <c r="AE64" s="14" t="s">
        <v>29</v>
      </c>
      <c r="AF64" s="36">
        <v>1957.0</v>
      </c>
      <c r="AG64" s="14" t="s">
        <v>29</v>
      </c>
      <c r="AH64" s="14">
        <v>1938.0</v>
      </c>
      <c r="AI64" s="14">
        <v>1957.0</v>
      </c>
    </row>
    <row r="65">
      <c r="A65" s="6" t="s">
        <v>261</v>
      </c>
      <c r="B65" s="7" t="s">
        <v>262</v>
      </c>
      <c r="C65" s="6" t="s">
        <v>263</v>
      </c>
      <c r="D65" s="8" t="s">
        <v>264</v>
      </c>
      <c r="E65" s="8">
        <v>27440.0</v>
      </c>
      <c r="F65" s="9"/>
      <c r="G65" s="9"/>
      <c r="H65" s="10"/>
      <c r="I65" s="10"/>
      <c r="J65" s="10"/>
      <c r="K65" s="11"/>
      <c r="L65" s="11"/>
      <c r="M65" s="11"/>
      <c r="N65" s="11"/>
      <c r="O65" s="11"/>
      <c r="P65" s="11"/>
      <c r="Q65" s="12"/>
      <c r="R65" s="27">
        <v>1933.0</v>
      </c>
      <c r="S65" s="12"/>
      <c r="T65" s="28">
        <v>1933.0</v>
      </c>
      <c r="U65" s="12"/>
      <c r="V65" s="29">
        <v>1933.0</v>
      </c>
      <c r="W65" s="12"/>
      <c r="X65" s="22">
        <v>1933.0</v>
      </c>
      <c r="Y65" s="12"/>
      <c r="Z65" s="23">
        <v>1933.0</v>
      </c>
      <c r="AA65" s="14"/>
      <c r="AB65" s="13">
        <v>1957.0</v>
      </c>
      <c r="AC65" s="14" t="s">
        <v>29</v>
      </c>
      <c r="AD65" s="15">
        <v>1957.0</v>
      </c>
      <c r="AE65" s="14" t="s">
        <v>29</v>
      </c>
      <c r="AF65" s="36">
        <v>1957.0</v>
      </c>
      <c r="AG65" s="14" t="s">
        <v>29</v>
      </c>
      <c r="AH65" s="14">
        <v>1933.0</v>
      </c>
      <c r="AI65" s="14">
        <v>1957.0</v>
      </c>
    </row>
    <row r="66">
      <c r="A66" s="6" t="s">
        <v>265</v>
      </c>
      <c r="B66" s="7" t="s">
        <v>266</v>
      </c>
      <c r="C66" s="6" t="s">
        <v>267</v>
      </c>
      <c r="D66" s="8" t="s">
        <v>268</v>
      </c>
      <c r="E66" s="8">
        <v>29235.0</v>
      </c>
      <c r="F66" s="34"/>
      <c r="G66" s="34"/>
      <c r="H66" s="10"/>
      <c r="I66" s="10"/>
      <c r="J66" s="10"/>
      <c r="K66" s="11"/>
      <c r="L66" s="11"/>
      <c r="M66" s="11"/>
      <c r="N66" s="11"/>
      <c r="O66" s="11"/>
      <c r="P66" s="11"/>
      <c r="Q66" s="12"/>
      <c r="R66" s="27">
        <v>1935.0</v>
      </c>
      <c r="S66" s="12"/>
      <c r="T66" s="28">
        <v>1935.0</v>
      </c>
      <c r="U66" s="12"/>
      <c r="V66" s="29">
        <v>1935.0</v>
      </c>
      <c r="W66" s="12"/>
      <c r="X66" s="22">
        <v>1935.0</v>
      </c>
      <c r="Y66" s="12"/>
      <c r="Z66" s="23">
        <v>1948.0</v>
      </c>
      <c r="AA66" s="14"/>
      <c r="AB66" s="13">
        <v>1960.0</v>
      </c>
      <c r="AC66" s="14" t="s">
        <v>29</v>
      </c>
      <c r="AD66" s="15">
        <v>1960.0</v>
      </c>
      <c r="AE66" s="14" t="s">
        <v>29</v>
      </c>
      <c r="AF66" s="36">
        <v>1960.0</v>
      </c>
      <c r="AG66" s="14" t="s">
        <v>29</v>
      </c>
      <c r="AH66" s="14">
        <v>1935.0</v>
      </c>
      <c r="AI66" s="14">
        <v>1960.0</v>
      </c>
    </row>
    <row r="67">
      <c r="A67" s="6" t="s">
        <v>269</v>
      </c>
      <c r="B67" s="7" t="s">
        <v>270</v>
      </c>
      <c r="C67" s="6" t="s">
        <v>271</v>
      </c>
      <c r="D67" s="8" t="s">
        <v>272</v>
      </c>
      <c r="E67" s="8">
        <v>26299.0</v>
      </c>
      <c r="F67" s="9"/>
      <c r="G67" s="9"/>
      <c r="H67" s="10"/>
      <c r="I67" s="10"/>
      <c r="J67" s="10"/>
      <c r="K67" s="11"/>
      <c r="L67" s="11"/>
      <c r="M67" s="11"/>
      <c r="N67" s="20">
        <v>1923.0</v>
      </c>
      <c r="O67" s="11"/>
      <c r="P67" s="11"/>
      <c r="Q67" s="12"/>
      <c r="R67" s="27">
        <v>1938.0</v>
      </c>
      <c r="S67" s="12"/>
      <c r="T67" s="28">
        <v>1938.0</v>
      </c>
      <c r="U67" s="12"/>
      <c r="V67" s="29">
        <v>1938.0</v>
      </c>
      <c r="W67" s="12"/>
      <c r="X67" s="22">
        <v>1938.0</v>
      </c>
      <c r="Y67" s="12"/>
      <c r="Z67" s="23">
        <v>1938.0</v>
      </c>
      <c r="AA67" s="14"/>
      <c r="AB67" s="13">
        <v>1960.0</v>
      </c>
      <c r="AC67" s="14" t="s">
        <v>29</v>
      </c>
      <c r="AD67" s="15">
        <v>1960.0</v>
      </c>
      <c r="AE67" s="14" t="s">
        <v>29</v>
      </c>
      <c r="AF67" s="36">
        <v>1960.0</v>
      </c>
      <c r="AG67" s="14" t="s">
        <v>29</v>
      </c>
      <c r="AH67" s="14">
        <v>1923.0</v>
      </c>
      <c r="AI67" s="14">
        <v>1960.0</v>
      </c>
    </row>
    <row r="68">
      <c r="A68" s="6" t="s">
        <v>273</v>
      </c>
      <c r="B68" s="7" t="s">
        <v>274</v>
      </c>
      <c r="C68" s="6" t="s">
        <v>275</v>
      </c>
      <c r="D68" s="8" t="s">
        <v>276</v>
      </c>
      <c r="E68" s="8">
        <v>17436.0</v>
      </c>
      <c r="F68" s="9"/>
      <c r="G68" s="9"/>
      <c r="H68" s="10"/>
      <c r="I68" s="10"/>
      <c r="J68" s="10"/>
      <c r="K68" s="11"/>
      <c r="L68" s="11"/>
      <c r="M68" s="11"/>
      <c r="N68" s="11"/>
      <c r="O68" s="11"/>
      <c r="P68" s="11"/>
      <c r="Q68" s="12"/>
      <c r="R68" s="12"/>
      <c r="S68" s="12"/>
      <c r="T68" s="12"/>
      <c r="U68" s="12"/>
      <c r="V68" s="12"/>
      <c r="W68" s="12"/>
      <c r="X68" s="22">
        <v>1945.0</v>
      </c>
      <c r="Y68" s="12"/>
      <c r="Z68" s="12"/>
      <c r="AA68" s="12"/>
      <c r="AB68" s="12"/>
      <c r="AC68" s="12"/>
      <c r="AD68" s="12"/>
      <c r="AE68" s="12"/>
      <c r="AF68" s="12"/>
      <c r="AG68" s="12"/>
      <c r="AH68" s="14">
        <v>1945.0</v>
      </c>
      <c r="AI68" s="14">
        <v>1947.0</v>
      </c>
    </row>
    <row r="69">
      <c r="A69" s="6" t="s">
        <v>277</v>
      </c>
      <c r="B69" s="7" t="s">
        <v>278</v>
      </c>
      <c r="C69" s="6" t="s">
        <v>279</v>
      </c>
      <c r="D69" s="8" t="s">
        <v>280</v>
      </c>
      <c r="E69" s="8">
        <v>28341.0</v>
      </c>
      <c r="F69" s="9"/>
      <c r="G69" s="9"/>
      <c r="H69" s="10"/>
      <c r="I69" s="10"/>
      <c r="J69" s="10"/>
      <c r="K69" s="11"/>
      <c r="L69" s="11"/>
      <c r="M69" s="11"/>
      <c r="N69" s="11"/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23">
        <v>1949.0</v>
      </c>
      <c r="AA69" s="14"/>
      <c r="AB69" s="13">
        <v>1958.0</v>
      </c>
      <c r="AC69" s="14" t="s">
        <v>29</v>
      </c>
      <c r="AD69" s="15">
        <v>1958.0</v>
      </c>
      <c r="AE69" s="14" t="s">
        <v>29</v>
      </c>
      <c r="AF69" s="36">
        <v>1958.0</v>
      </c>
      <c r="AG69" s="14" t="s">
        <v>29</v>
      </c>
      <c r="AH69" s="14">
        <v>1949.0</v>
      </c>
      <c r="AI69" s="14">
        <v>1958.0</v>
      </c>
    </row>
    <row r="70">
      <c r="A70" s="6" t="s">
        <v>281</v>
      </c>
      <c r="B70" s="7" t="s">
        <v>282</v>
      </c>
      <c r="C70" s="6" t="s">
        <v>283</v>
      </c>
      <c r="D70" s="8" t="s">
        <v>284</v>
      </c>
      <c r="E70" s="8">
        <v>16949.0</v>
      </c>
      <c r="F70" s="9"/>
      <c r="G70" s="9"/>
      <c r="H70" s="10"/>
      <c r="I70" s="10"/>
      <c r="J70" s="10"/>
      <c r="K70" s="11"/>
      <c r="L70" s="11"/>
      <c r="M70" s="11"/>
      <c r="N70" s="11"/>
      <c r="O70" s="11"/>
      <c r="P70" s="11"/>
      <c r="Q70" s="12"/>
      <c r="R70" s="27">
        <v>1932.0</v>
      </c>
      <c r="S70" s="12"/>
      <c r="T70" s="28">
        <v>1932.0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4">
        <v>1932.0</v>
      </c>
      <c r="AI70" s="14">
        <v>1942.0</v>
      </c>
    </row>
    <row r="71">
      <c r="A71" s="6" t="s">
        <v>285</v>
      </c>
      <c r="B71" s="35"/>
      <c r="C71" s="6" t="s">
        <v>286</v>
      </c>
      <c r="D71" s="8" t="s">
        <v>287</v>
      </c>
      <c r="E71" s="8">
        <v>27870.0</v>
      </c>
      <c r="F71" s="9"/>
      <c r="G71" s="9"/>
      <c r="H71" s="10"/>
      <c r="I71" s="10"/>
      <c r="J71" s="10"/>
      <c r="K71" s="11"/>
      <c r="L71" s="11"/>
      <c r="M71" s="11"/>
      <c r="N71" s="11"/>
      <c r="O71" s="11"/>
      <c r="P71" s="11"/>
      <c r="Q71" s="12"/>
      <c r="R71" s="12"/>
      <c r="S71" s="12"/>
      <c r="T71" s="28">
        <v>1940.0</v>
      </c>
      <c r="U71" s="12"/>
      <c r="V71" s="29">
        <v>1940.0</v>
      </c>
      <c r="W71" s="12"/>
      <c r="X71" s="22">
        <v>1940.0</v>
      </c>
      <c r="Y71" s="12"/>
      <c r="Z71" s="23">
        <v>1940.0</v>
      </c>
      <c r="AA71" s="14"/>
      <c r="AB71" s="13">
        <v>1960.0</v>
      </c>
      <c r="AC71" s="14" t="s">
        <v>29</v>
      </c>
      <c r="AD71" s="15">
        <v>1960.0</v>
      </c>
      <c r="AE71" s="14" t="s">
        <v>29</v>
      </c>
      <c r="AF71" s="36">
        <v>1960.0</v>
      </c>
      <c r="AG71" s="14" t="s">
        <v>29</v>
      </c>
      <c r="AH71" s="14">
        <v>1940.0</v>
      </c>
      <c r="AI71" s="14">
        <v>1960.0</v>
      </c>
    </row>
    <row r="72">
      <c r="A72" s="6" t="s">
        <v>288</v>
      </c>
      <c r="B72" s="7" t="s">
        <v>289</v>
      </c>
      <c r="C72" s="6" t="s">
        <v>290</v>
      </c>
      <c r="D72" s="8" t="s">
        <v>291</v>
      </c>
      <c r="E72" s="8">
        <v>26855.0</v>
      </c>
      <c r="F72" s="9"/>
      <c r="G72" s="9"/>
      <c r="H72" s="10"/>
      <c r="I72" s="10"/>
      <c r="J72" s="10"/>
      <c r="K72" s="11"/>
      <c r="L72" s="11"/>
      <c r="M72" s="11"/>
      <c r="N72" s="11"/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23">
        <v>1947.0</v>
      </c>
      <c r="AA72" s="14"/>
      <c r="AB72" s="13">
        <v>1947.0</v>
      </c>
      <c r="AC72" s="14"/>
      <c r="AD72" s="15">
        <v>1963.0</v>
      </c>
      <c r="AE72" s="14" t="s">
        <v>29</v>
      </c>
      <c r="AF72" s="36">
        <v>1963.0</v>
      </c>
      <c r="AG72" s="14" t="s">
        <v>29</v>
      </c>
      <c r="AH72" s="14">
        <v>1947.0</v>
      </c>
      <c r="AI72" s="14">
        <v>1963.0</v>
      </c>
    </row>
    <row r="73">
      <c r="A73" s="6" t="s">
        <v>292</v>
      </c>
      <c r="B73" s="7" t="s">
        <v>293</v>
      </c>
      <c r="C73" s="6" t="s">
        <v>294</v>
      </c>
      <c r="D73" s="8" t="s">
        <v>295</v>
      </c>
      <c r="E73" s="8">
        <v>29316.0</v>
      </c>
      <c r="F73" s="9"/>
      <c r="G73" s="9"/>
      <c r="H73" s="10"/>
      <c r="I73" s="10"/>
      <c r="J73" s="10"/>
      <c r="K73" s="11"/>
      <c r="L73" s="11"/>
      <c r="M73" s="11"/>
      <c r="N73" s="11"/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23">
        <v>1943.0</v>
      </c>
      <c r="AA73" s="14"/>
      <c r="AB73" s="13">
        <v>1962.0</v>
      </c>
      <c r="AC73" s="14" t="s">
        <v>29</v>
      </c>
      <c r="AD73" s="15">
        <v>1962.0</v>
      </c>
      <c r="AE73" s="14" t="s">
        <v>29</v>
      </c>
      <c r="AF73" s="36">
        <v>1962.0</v>
      </c>
      <c r="AG73" s="14" t="s">
        <v>29</v>
      </c>
      <c r="AH73" s="14">
        <v>1943.0</v>
      </c>
      <c r="AI73" s="14">
        <v>1962.0</v>
      </c>
    </row>
    <row r="74">
      <c r="A74" s="6" t="s">
        <v>296</v>
      </c>
      <c r="B74" s="7" t="s">
        <v>297</v>
      </c>
      <c r="C74" s="6" t="s">
        <v>298</v>
      </c>
      <c r="D74" s="8" t="s">
        <v>299</v>
      </c>
      <c r="E74" s="8">
        <v>22065.0</v>
      </c>
      <c r="F74" s="9"/>
      <c r="G74" s="9"/>
      <c r="H74" s="10"/>
      <c r="I74" s="10"/>
      <c r="J74" s="10"/>
      <c r="K74" s="11"/>
      <c r="L74" s="11"/>
      <c r="M74" s="11"/>
      <c r="N74" s="11"/>
      <c r="O74" s="11"/>
      <c r="P74" s="11"/>
      <c r="Q74" s="12"/>
      <c r="R74" s="12"/>
      <c r="S74" s="12"/>
      <c r="T74" s="12"/>
      <c r="U74" s="12"/>
      <c r="V74" s="29">
        <v>1942.0</v>
      </c>
      <c r="W74" s="12"/>
      <c r="X74" s="22">
        <v>1942.0</v>
      </c>
      <c r="Y74" s="12"/>
      <c r="Z74" s="23">
        <v>1942.0</v>
      </c>
      <c r="AA74" s="14"/>
      <c r="AB74" s="14"/>
      <c r="AC74" s="14"/>
      <c r="AD74" s="14"/>
      <c r="AE74" s="14"/>
      <c r="AF74" s="14"/>
      <c r="AG74" s="14"/>
      <c r="AH74" s="14">
        <v>1942.0</v>
      </c>
      <c r="AI74" s="14">
        <v>1955.0</v>
      </c>
    </row>
    <row r="75">
      <c r="A75" s="6" t="s">
        <v>300</v>
      </c>
      <c r="B75" s="35"/>
      <c r="C75" s="6" t="s">
        <v>301</v>
      </c>
      <c r="D75" s="8" t="s">
        <v>302</v>
      </c>
      <c r="E75" s="8">
        <v>31492.0</v>
      </c>
      <c r="F75" s="9"/>
      <c r="G75" s="9"/>
      <c r="H75" s="10"/>
      <c r="I75" s="10"/>
      <c r="J75" s="10"/>
      <c r="K75" s="11"/>
      <c r="L75" s="11"/>
      <c r="M75" s="11"/>
      <c r="N75" s="21"/>
      <c r="O75" s="11"/>
      <c r="P75" s="21"/>
      <c r="Q75" s="12"/>
      <c r="R75" s="14"/>
      <c r="S75" s="14"/>
      <c r="T75" s="14"/>
      <c r="U75" s="14"/>
      <c r="V75" s="12"/>
      <c r="W75" s="12"/>
      <c r="X75" s="22">
        <v>1947.0</v>
      </c>
      <c r="Y75" s="12"/>
      <c r="Z75" s="23">
        <v>1947.0</v>
      </c>
      <c r="AA75" s="38"/>
      <c r="AB75" s="13">
        <v>1962.0</v>
      </c>
      <c r="AC75" s="38" t="s">
        <v>29</v>
      </c>
      <c r="AD75" s="15">
        <v>1962.0</v>
      </c>
      <c r="AE75" s="38" t="s">
        <v>29</v>
      </c>
      <c r="AF75" s="36">
        <v>1962.0</v>
      </c>
      <c r="AG75" s="38" t="s">
        <v>29</v>
      </c>
      <c r="AH75" s="38">
        <v>1947.0</v>
      </c>
      <c r="AI75" s="38">
        <v>1962.0</v>
      </c>
    </row>
    <row r="76">
      <c r="A76" s="6" t="s">
        <v>303</v>
      </c>
      <c r="B76" s="7" t="s">
        <v>304</v>
      </c>
      <c r="C76" s="6" t="s">
        <v>305</v>
      </c>
      <c r="D76" s="8" t="s">
        <v>306</v>
      </c>
      <c r="E76" s="8">
        <v>27030.0</v>
      </c>
      <c r="F76" s="9"/>
      <c r="G76" s="9"/>
      <c r="H76" s="10"/>
      <c r="I76" s="10"/>
      <c r="J76" s="10"/>
      <c r="K76" s="11"/>
      <c r="L76" s="11"/>
      <c r="M76" s="11"/>
      <c r="N76" s="11"/>
      <c r="O76" s="11"/>
      <c r="P76" s="11"/>
      <c r="Q76" s="12"/>
      <c r="R76" s="12"/>
      <c r="S76" s="12"/>
      <c r="T76" s="12"/>
      <c r="U76" s="12"/>
      <c r="V76" s="12"/>
      <c r="W76" s="12"/>
      <c r="X76" s="22">
        <v>1945.0</v>
      </c>
      <c r="Y76" s="12"/>
      <c r="Z76" s="23">
        <v>1945.0</v>
      </c>
      <c r="AA76" s="14"/>
      <c r="AB76" s="13">
        <v>1962.0</v>
      </c>
      <c r="AC76" s="14" t="s">
        <v>29</v>
      </c>
      <c r="AD76" s="15">
        <v>1962.0</v>
      </c>
      <c r="AE76" s="14" t="s">
        <v>29</v>
      </c>
      <c r="AF76" s="36">
        <v>1961.0</v>
      </c>
      <c r="AG76" s="14" t="s">
        <v>29</v>
      </c>
      <c r="AH76" s="14">
        <v>1945.0</v>
      </c>
      <c r="AI76" s="14">
        <v>1961.0</v>
      </c>
    </row>
    <row r="77">
      <c r="A77" s="6" t="s">
        <v>307</v>
      </c>
      <c r="B77" s="7" t="s">
        <v>308</v>
      </c>
      <c r="C77" s="6" t="s">
        <v>309</v>
      </c>
      <c r="D77" s="8" t="s">
        <v>310</v>
      </c>
      <c r="E77" s="8">
        <v>24444.0</v>
      </c>
      <c r="F77" s="9"/>
      <c r="G77" s="9"/>
      <c r="H77" s="10"/>
      <c r="I77" s="10"/>
      <c r="J77" s="10"/>
      <c r="K77" s="11"/>
      <c r="L77" s="11"/>
      <c r="M77" s="11"/>
      <c r="N77" s="11"/>
      <c r="O77" s="11"/>
      <c r="P77" s="11"/>
      <c r="Q77" s="12"/>
      <c r="R77" s="12"/>
      <c r="S77" s="12"/>
      <c r="T77" s="28">
        <v>1941.0</v>
      </c>
      <c r="U77" s="12"/>
      <c r="V77" s="29">
        <v>1941.0</v>
      </c>
      <c r="W77" s="12"/>
      <c r="X77" s="22">
        <v>1941.0</v>
      </c>
      <c r="Y77" s="12"/>
      <c r="Z77" s="23">
        <v>1941.0</v>
      </c>
      <c r="AA77" s="14"/>
      <c r="AB77" s="13">
        <v>1941.0</v>
      </c>
      <c r="AC77" s="14"/>
      <c r="AD77" s="15">
        <v>1941.0</v>
      </c>
      <c r="AE77" s="14"/>
      <c r="AF77" s="14"/>
      <c r="AG77" s="14"/>
      <c r="AH77" s="14">
        <v>1941.0</v>
      </c>
      <c r="AI77" s="14">
        <v>1970.0</v>
      </c>
    </row>
    <row r="78">
      <c r="A78" s="6" t="s">
        <v>311</v>
      </c>
      <c r="B78" s="7" t="s">
        <v>312</v>
      </c>
      <c r="C78" s="6" t="s">
        <v>313</v>
      </c>
      <c r="D78" s="8" t="s">
        <v>314</v>
      </c>
      <c r="E78" s="8">
        <v>20306.0</v>
      </c>
      <c r="F78" s="9"/>
      <c r="G78" s="9"/>
      <c r="H78" s="10"/>
      <c r="I78" s="10"/>
      <c r="J78" s="18"/>
      <c r="K78" s="11"/>
      <c r="L78" s="21"/>
      <c r="M78" s="11"/>
      <c r="N78" s="11"/>
      <c r="O78" s="11"/>
      <c r="P78" s="21"/>
      <c r="Q78" s="12"/>
      <c r="R78" s="27"/>
      <c r="S78" s="12"/>
      <c r="T78" s="28"/>
      <c r="U78" s="14"/>
      <c r="V78" s="29"/>
      <c r="W78" s="14"/>
      <c r="X78" s="22"/>
      <c r="Y78" s="14"/>
      <c r="Z78" s="23">
        <v>1939.0</v>
      </c>
      <c r="AA78" s="14"/>
      <c r="AB78" s="14"/>
      <c r="AC78" s="14"/>
      <c r="AD78" s="14"/>
      <c r="AE78" s="14"/>
      <c r="AF78" s="14"/>
      <c r="AG78" s="14"/>
      <c r="AH78" s="14">
        <v>1939.0</v>
      </c>
      <c r="AI78" s="14">
        <v>1955.0</v>
      </c>
    </row>
    <row r="79">
      <c r="A79" s="6" t="s">
        <v>315</v>
      </c>
      <c r="B79" s="7" t="s">
        <v>316</v>
      </c>
      <c r="C79" s="6" t="s">
        <v>317</v>
      </c>
      <c r="D79" s="8" t="s">
        <v>318</v>
      </c>
      <c r="E79" s="8">
        <v>30737.0</v>
      </c>
      <c r="F79" s="9"/>
      <c r="G79" s="9"/>
      <c r="H79" s="10"/>
      <c r="I79" s="10"/>
      <c r="J79" s="10"/>
      <c r="K79" s="11"/>
      <c r="L79" s="11"/>
      <c r="M79" s="11"/>
      <c r="N79" s="11"/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23">
        <v>1948.0</v>
      </c>
      <c r="AA79" s="14"/>
      <c r="AB79" s="13">
        <v>1948.0</v>
      </c>
      <c r="AC79" s="14"/>
      <c r="AD79" s="15">
        <v>1948.0</v>
      </c>
      <c r="AE79" s="14"/>
      <c r="AF79" s="36">
        <v>1966.0</v>
      </c>
      <c r="AG79" s="14" t="s">
        <v>29</v>
      </c>
      <c r="AH79" s="14">
        <v>1948.0</v>
      </c>
      <c r="AI79" s="14">
        <v>1966.0</v>
      </c>
    </row>
    <row r="80">
      <c r="A80" s="6" t="s">
        <v>319</v>
      </c>
      <c r="B80" s="7" t="s">
        <v>320</v>
      </c>
      <c r="C80" s="6" t="s">
        <v>321</v>
      </c>
      <c r="D80" s="8">
        <v>304.0</v>
      </c>
      <c r="E80" s="8">
        <v>33309.0</v>
      </c>
      <c r="F80" s="9"/>
      <c r="G80" s="9"/>
      <c r="H80" s="10"/>
      <c r="I80" s="10"/>
      <c r="J80" s="10"/>
      <c r="K80" s="11"/>
      <c r="L80" s="11"/>
      <c r="M80" s="11"/>
      <c r="N80" s="11"/>
      <c r="O80" s="11"/>
      <c r="P80" s="11"/>
      <c r="Q80" s="12"/>
      <c r="R80" s="12"/>
      <c r="S80" s="12"/>
      <c r="T80" s="12"/>
      <c r="U80" s="12"/>
      <c r="V80" s="12"/>
      <c r="W80" s="12"/>
      <c r="X80" s="22">
        <v>1946.0</v>
      </c>
      <c r="Y80" s="12"/>
      <c r="Z80" s="23">
        <v>1946.0</v>
      </c>
      <c r="AA80" s="14"/>
      <c r="AB80" s="13">
        <v>1946.0</v>
      </c>
      <c r="AC80" s="14"/>
      <c r="AD80" s="15">
        <v>1946.0</v>
      </c>
      <c r="AE80" s="14"/>
      <c r="AF80" s="36">
        <v>1967.0</v>
      </c>
      <c r="AG80" s="14" t="s">
        <v>29</v>
      </c>
      <c r="AH80" s="14">
        <v>1946.0</v>
      </c>
      <c r="AI80" s="14">
        <v>1967.0</v>
      </c>
    </row>
    <row r="81">
      <c r="A81" s="6" t="s">
        <v>322</v>
      </c>
      <c r="B81" s="7" t="s">
        <v>323</v>
      </c>
      <c r="C81" s="6" t="s">
        <v>324</v>
      </c>
      <c r="D81" s="8">
        <v>515.0</v>
      </c>
      <c r="E81" s="8">
        <v>20473.0</v>
      </c>
      <c r="F81" s="9"/>
      <c r="G81" s="9"/>
      <c r="H81" s="10"/>
      <c r="I81" s="10"/>
      <c r="J81" s="10"/>
      <c r="K81" s="11"/>
      <c r="L81" s="11"/>
      <c r="M81" s="11"/>
      <c r="N81" s="11"/>
      <c r="O81" s="11"/>
      <c r="P81" s="11"/>
      <c r="Q81" s="12"/>
      <c r="R81" s="12"/>
      <c r="S81" s="12"/>
      <c r="T81" s="12"/>
      <c r="U81" s="12"/>
      <c r="V81" s="29">
        <v>1944.0</v>
      </c>
      <c r="W81" s="12"/>
      <c r="X81" s="22">
        <v>1944.0</v>
      </c>
      <c r="Y81" s="12"/>
      <c r="Z81" s="23">
        <v>1944.0</v>
      </c>
      <c r="AA81" s="14"/>
      <c r="AB81" s="14"/>
      <c r="AC81" s="14"/>
      <c r="AD81" s="14"/>
      <c r="AE81" s="14"/>
      <c r="AF81" s="14"/>
      <c r="AG81" s="14"/>
      <c r="AH81" s="14">
        <v>1944.0</v>
      </c>
      <c r="AI81" s="14">
        <v>1955.0</v>
      </c>
    </row>
    <row r="82">
      <c r="A82" s="6" t="s">
        <v>325</v>
      </c>
      <c r="B82" s="7" t="s">
        <v>326</v>
      </c>
      <c r="C82" s="6" t="s">
        <v>327</v>
      </c>
      <c r="D82" s="8">
        <v>610.0</v>
      </c>
      <c r="E82" s="8">
        <v>28458.0</v>
      </c>
      <c r="F82" s="9"/>
      <c r="G82" s="9"/>
      <c r="H82" s="10"/>
      <c r="I82" s="10"/>
      <c r="J82" s="10"/>
      <c r="K82" s="11"/>
      <c r="L82" s="11"/>
      <c r="M82" s="11"/>
      <c r="N82" s="11"/>
      <c r="O82" s="11"/>
      <c r="P82" s="11"/>
      <c r="Q82" s="12"/>
      <c r="R82" s="12"/>
      <c r="S82" s="12"/>
      <c r="T82" s="12"/>
      <c r="U82" s="12"/>
      <c r="V82" s="29">
        <v>1942.0</v>
      </c>
      <c r="W82" s="12"/>
      <c r="X82" s="22">
        <v>1942.0</v>
      </c>
      <c r="Y82" s="12"/>
      <c r="Z82" s="23">
        <v>1942.0</v>
      </c>
      <c r="AA82" s="14"/>
      <c r="AB82" s="13">
        <v>1942.0</v>
      </c>
      <c r="AC82" s="14"/>
      <c r="AD82" s="15">
        <v>1942.0</v>
      </c>
      <c r="AE82" s="14"/>
      <c r="AF82" s="36">
        <v>1968.0</v>
      </c>
      <c r="AG82" s="14" t="s">
        <v>29</v>
      </c>
      <c r="AH82" s="14">
        <v>1942.0</v>
      </c>
      <c r="AI82" s="14">
        <v>1968.0</v>
      </c>
    </row>
    <row r="83">
      <c r="A83" s="6" t="s">
        <v>328</v>
      </c>
      <c r="B83" s="7" t="s">
        <v>329</v>
      </c>
      <c r="C83" s="6" t="s">
        <v>330</v>
      </c>
      <c r="D83" s="8">
        <v>725.0</v>
      </c>
      <c r="E83" s="33">
        <v>26132.0</v>
      </c>
      <c r="F83" s="9"/>
      <c r="G83" s="9"/>
      <c r="H83" s="10"/>
      <c r="I83" s="10"/>
      <c r="J83" s="10"/>
      <c r="K83" s="11"/>
      <c r="L83" s="11"/>
      <c r="M83" s="11"/>
      <c r="N83" s="11"/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23">
        <v>1954.0</v>
      </c>
      <c r="AA83" s="14"/>
      <c r="AB83" s="13">
        <v>1954.0</v>
      </c>
      <c r="AC83" s="14"/>
      <c r="AD83" s="15">
        <v>1954.0</v>
      </c>
      <c r="AE83" s="14"/>
      <c r="AF83" s="36">
        <v>1968.0</v>
      </c>
      <c r="AG83" s="14" t="s">
        <v>29</v>
      </c>
      <c r="AH83" s="14">
        <v>1954.0</v>
      </c>
      <c r="AI83" s="14">
        <v>1968.0</v>
      </c>
    </row>
    <row r="84">
      <c r="A84" s="6" t="s">
        <v>331</v>
      </c>
      <c r="B84" s="7" t="s">
        <v>332</v>
      </c>
      <c r="C84" s="6" t="s">
        <v>333</v>
      </c>
      <c r="D84" s="8">
        <v>806.0</v>
      </c>
      <c r="E84" s="8">
        <v>27813.0</v>
      </c>
      <c r="F84" s="9"/>
      <c r="G84" s="9"/>
      <c r="H84" s="10"/>
      <c r="I84" s="10"/>
      <c r="J84" s="10"/>
      <c r="K84" s="11"/>
      <c r="L84" s="11"/>
      <c r="M84" s="11"/>
      <c r="N84" s="11"/>
      <c r="O84" s="11"/>
      <c r="P84" s="11"/>
      <c r="Q84" s="12"/>
      <c r="R84" s="12"/>
      <c r="S84" s="12"/>
      <c r="T84" s="28">
        <v>1940.0</v>
      </c>
      <c r="U84" s="12"/>
      <c r="V84" s="29">
        <v>1940.0</v>
      </c>
      <c r="W84" s="12"/>
      <c r="X84" s="22">
        <v>1940.0</v>
      </c>
      <c r="Y84" s="12"/>
      <c r="Z84" s="23">
        <v>1940.0</v>
      </c>
      <c r="AA84" s="14"/>
      <c r="AB84" s="13">
        <v>1940.0</v>
      </c>
      <c r="AC84" s="12"/>
      <c r="AD84" s="15">
        <v>1940.0</v>
      </c>
      <c r="AE84" s="12"/>
      <c r="AF84" s="36">
        <v>1968.0</v>
      </c>
      <c r="AG84" s="14" t="s">
        <v>29</v>
      </c>
      <c r="AH84" s="14">
        <v>1940.0</v>
      </c>
      <c r="AI84" s="14">
        <v>1968.0</v>
      </c>
    </row>
    <row r="85">
      <c r="A85" s="6" t="s">
        <v>334</v>
      </c>
      <c r="B85" s="7" t="s">
        <v>335</v>
      </c>
      <c r="C85" s="6" t="s">
        <v>336</v>
      </c>
      <c r="D85" s="8">
        <v>979.0</v>
      </c>
      <c r="E85" s="8">
        <v>28248.0</v>
      </c>
      <c r="F85" s="9"/>
      <c r="G85" s="9"/>
      <c r="H85" s="10"/>
      <c r="I85" s="10"/>
      <c r="J85" s="10"/>
      <c r="K85" s="11"/>
      <c r="L85" s="11"/>
      <c r="M85" s="11"/>
      <c r="N85" s="11"/>
      <c r="O85" s="11"/>
      <c r="P85" s="11"/>
      <c r="Q85" s="12"/>
      <c r="R85" s="12"/>
      <c r="S85" s="12"/>
      <c r="T85" s="12"/>
      <c r="U85" s="12"/>
      <c r="V85" s="29">
        <v>1943.0</v>
      </c>
      <c r="W85" s="12"/>
      <c r="X85" s="22">
        <v>1943.0</v>
      </c>
      <c r="Y85" s="12"/>
      <c r="Z85" s="23">
        <v>1943.0</v>
      </c>
      <c r="AA85" s="14"/>
      <c r="AB85" s="13">
        <v>1943.0</v>
      </c>
      <c r="AC85" s="14"/>
      <c r="AD85" s="15">
        <v>1943.0</v>
      </c>
      <c r="AE85" s="14"/>
      <c r="AF85" s="36">
        <v>1969.0</v>
      </c>
      <c r="AG85" s="14" t="s">
        <v>29</v>
      </c>
      <c r="AH85" s="14">
        <v>1943.0</v>
      </c>
      <c r="AI85" s="14">
        <v>1969.0</v>
      </c>
    </row>
    <row r="86">
      <c r="A86" s="6" t="s">
        <v>337</v>
      </c>
      <c r="B86" s="7" t="s">
        <v>338</v>
      </c>
      <c r="C86" s="6" t="s">
        <v>339</v>
      </c>
      <c r="D86" s="8">
        <v>1283.0</v>
      </c>
      <c r="E86" s="8">
        <v>30178.0</v>
      </c>
      <c r="F86" s="9"/>
      <c r="G86" s="9"/>
      <c r="H86" s="10"/>
      <c r="I86" s="10"/>
      <c r="J86" s="10"/>
      <c r="K86" s="11"/>
      <c r="L86" s="11"/>
      <c r="M86" s="11"/>
      <c r="N86" s="11"/>
      <c r="O86" s="11"/>
      <c r="P86" s="11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3">
        <v>1959.0</v>
      </c>
      <c r="AC86" s="14"/>
      <c r="AD86" s="15">
        <v>1959.0</v>
      </c>
      <c r="AE86" s="14"/>
      <c r="AF86" s="36">
        <v>1959.0</v>
      </c>
      <c r="AG86" s="14"/>
      <c r="AH86" s="14">
        <v>1959.0</v>
      </c>
      <c r="AI86" s="14">
        <v>1970.0</v>
      </c>
    </row>
    <row r="87">
      <c r="A87" s="6" t="s">
        <v>340</v>
      </c>
      <c r="B87" s="7" t="s">
        <v>341</v>
      </c>
      <c r="C87" s="6" t="s">
        <v>342</v>
      </c>
      <c r="D87" s="8">
        <v>1416.0</v>
      </c>
      <c r="E87" s="8">
        <v>28901.0</v>
      </c>
      <c r="F87" s="9"/>
      <c r="G87" s="9"/>
      <c r="H87" s="10"/>
      <c r="I87" s="10"/>
      <c r="J87" s="10"/>
      <c r="K87" s="11"/>
      <c r="L87" s="11"/>
      <c r="M87" s="11"/>
      <c r="N87" s="11"/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23">
        <v>1948.0</v>
      </c>
      <c r="AA87" s="14"/>
      <c r="AB87" s="14"/>
      <c r="AC87" s="14"/>
      <c r="AD87" s="15">
        <v>1948.0</v>
      </c>
      <c r="AE87" s="14"/>
      <c r="AF87" s="36">
        <v>1948.0</v>
      </c>
      <c r="AG87" s="14"/>
      <c r="AH87" s="14">
        <v>1948.0</v>
      </c>
      <c r="AI87" s="14">
        <v>1970.0</v>
      </c>
    </row>
    <row r="88">
      <c r="A88" s="6" t="s">
        <v>343</v>
      </c>
      <c r="B88" s="7" t="s">
        <v>344</v>
      </c>
      <c r="C88" s="6" t="s">
        <v>345</v>
      </c>
      <c r="D88" s="8">
        <v>1611.0</v>
      </c>
      <c r="E88" s="8">
        <v>26782.0</v>
      </c>
      <c r="F88" s="9"/>
      <c r="G88" s="9"/>
      <c r="H88" s="10"/>
      <c r="I88" s="10"/>
      <c r="J88" s="10"/>
      <c r="K88" s="11"/>
      <c r="L88" s="11"/>
      <c r="M88" s="11"/>
      <c r="N88" s="11"/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3">
        <v>1957.0</v>
      </c>
      <c r="AC88" s="14"/>
      <c r="AD88" s="15">
        <v>1957.0</v>
      </c>
      <c r="AE88" s="14"/>
      <c r="AF88" s="36">
        <v>1957.0</v>
      </c>
      <c r="AG88" s="14"/>
      <c r="AH88" s="14">
        <v>1957.0</v>
      </c>
      <c r="AI88" s="14">
        <v>1970.0</v>
      </c>
    </row>
    <row r="89">
      <c r="A89" s="6" t="s">
        <v>346</v>
      </c>
      <c r="B89" s="35"/>
      <c r="C89" s="6" t="s">
        <v>347</v>
      </c>
      <c r="D89" s="8">
        <v>1678.0</v>
      </c>
      <c r="E89" s="8"/>
      <c r="F89" s="9"/>
      <c r="G89" s="9"/>
      <c r="H89" s="10"/>
      <c r="I89" s="10"/>
      <c r="J89" s="10"/>
      <c r="K89" s="11"/>
      <c r="L89" s="11"/>
      <c r="M89" s="11"/>
      <c r="N89" s="11"/>
      <c r="O89" s="11"/>
      <c r="P89" s="11"/>
      <c r="Q89" s="12"/>
      <c r="R89" s="12"/>
      <c r="S89" s="12"/>
      <c r="T89" s="14"/>
      <c r="U89" s="12"/>
      <c r="V89" s="14"/>
      <c r="W89" s="12"/>
      <c r="X89" s="14"/>
      <c r="Y89" s="12"/>
      <c r="Z89" s="14"/>
      <c r="AA89" s="14"/>
      <c r="AB89" s="14"/>
      <c r="AC89" s="14"/>
      <c r="AD89" s="15">
        <v>1963.0</v>
      </c>
      <c r="AE89" s="14"/>
      <c r="AF89" s="36">
        <v>1963.0</v>
      </c>
      <c r="AG89" s="14"/>
      <c r="AH89" s="14">
        <v>1963.0</v>
      </c>
      <c r="AI89" s="14">
        <v>1970.0</v>
      </c>
    </row>
    <row r="90">
      <c r="A90" s="6" t="s">
        <v>348</v>
      </c>
      <c r="B90" s="7" t="s">
        <v>349</v>
      </c>
      <c r="C90" s="6" t="s">
        <v>350</v>
      </c>
      <c r="D90" s="8">
        <v>1865.0</v>
      </c>
      <c r="E90" s="8">
        <v>30384.0</v>
      </c>
      <c r="F90" s="9"/>
      <c r="G90" s="9"/>
      <c r="H90" s="10"/>
      <c r="I90" s="10"/>
      <c r="J90" s="10"/>
      <c r="K90" s="11"/>
      <c r="L90" s="11"/>
      <c r="M90" s="11"/>
      <c r="N90" s="11"/>
      <c r="O90" s="11"/>
      <c r="P90" s="11"/>
      <c r="Q90" s="12"/>
      <c r="R90" s="27">
        <v>1939.0</v>
      </c>
      <c r="S90" s="12"/>
      <c r="T90" s="28">
        <v>1939.0</v>
      </c>
      <c r="U90" s="12"/>
      <c r="V90" s="29">
        <v>1939.0</v>
      </c>
      <c r="W90" s="12"/>
      <c r="X90" s="22">
        <v>1939.0</v>
      </c>
      <c r="Y90" s="12"/>
      <c r="Z90" s="23">
        <v>1939.0</v>
      </c>
      <c r="AA90" s="14"/>
      <c r="AB90" s="13">
        <v>1939.0</v>
      </c>
      <c r="AC90" s="14"/>
      <c r="AD90" s="15">
        <v>1939.0</v>
      </c>
      <c r="AE90" s="14"/>
      <c r="AF90" s="36">
        <v>1939.0</v>
      </c>
      <c r="AG90" s="14"/>
      <c r="AH90" s="14">
        <v>1939.0</v>
      </c>
      <c r="AI90" s="14">
        <v>1970.0</v>
      </c>
    </row>
    <row r="91">
      <c r="A91" s="6" t="s">
        <v>351</v>
      </c>
      <c r="B91" s="35"/>
      <c r="C91" s="6" t="s">
        <v>352</v>
      </c>
      <c r="D91" s="6">
        <v>1928.0</v>
      </c>
      <c r="E91" s="8"/>
      <c r="F91" s="9"/>
      <c r="G91" s="9"/>
      <c r="H91" s="10"/>
      <c r="I91" s="10"/>
      <c r="J91" s="10"/>
      <c r="K91" s="11"/>
      <c r="L91" s="11"/>
      <c r="M91" s="11"/>
      <c r="N91" s="11"/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4"/>
      <c r="AC91" s="14"/>
      <c r="AD91" s="14"/>
      <c r="AE91" s="14"/>
      <c r="AF91" s="36">
        <v>1968.0</v>
      </c>
      <c r="AG91" s="14"/>
      <c r="AH91" s="14">
        <v>1968.0</v>
      </c>
      <c r="AI91" s="14">
        <v>1970.0</v>
      </c>
    </row>
    <row r="92">
      <c r="A92" s="6" t="s">
        <v>353</v>
      </c>
      <c r="B92" s="35"/>
      <c r="C92" s="6" t="s">
        <v>354</v>
      </c>
      <c r="D92" s="8">
        <v>1950.0</v>
      </c>
      <c r="E92" s="8">
        <v>38353.0</v>
      </c>
      <c r="F92" s="9"/>
      <c r="G92" s="9"/>
      <c r="H92" s="10"/>
      <c r="I92" s="10"/>
      <c r="J92" s="10"/>
      <c r="K92" s="11"/>
      <c r="L92" s="11"/>
      <c r="M92" s="11"/>
      <c r="N92" s="11"/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23">
        <v>1949.0</v>
      </c>
      <c r="AA92" s="14"/>
      <c r="AB92" s="13">
        <v>1949.0</v>
      </c>
      <c r="AC92" s="14"/>
      <c r="AD92" s="15">
        <v>1949.0</v>
      </c>
      <c r="AE92" s="14"/>
      <c r="AF92" s="36">
        <v>1949.0</v>
      </c>
      <c r="AG92" s="14"/>
      <c r="AH92" s="14">
        <v>1949.0</v>
      </c>
      <c r="AI92" s="14">
        <v>1970.0</v>
      </c>
    </row>
    <row r="93">
      <c r="A93" s="6" t="s">
        <v>355</v>
      </c>
      <c r="B93" s="7" t="s">
        <v>356</v>
      </c>
      <c r="C93" s="6" t="s">
        <v>357</v>
      </c>
      <c r="D93" s="8">
        <v>2078.0</v>
      </c>
      <c r="E93" s="8">
        <v>23286.0</v>
      </c>
      <c r="F93" s="9"/>
      <c r="G93" s="9"/>
      <c r="H93" s="10"/>
      <c r="I93" s="10"/>
      <c r="J93" s="10"/>
      <c r="K93" s="11"/>
      <c r="L93" s="11"/>
      <c r="M93" s="11"/>
      <c r="N93" s="11"/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23">
        <v>1952.0</v>
      </c>
      <c r="AA93" s="14"/>
      <c r="AB93" s="13">
        <v>1952.0</v>
      </c>
      <c r="AC93" s="14"/>
      <c r="AD93" s="14"/>
      <c r="AE93" s="14"/>
      <c r="AF93" s="14"/>
      <c r="AG93" s="14"/>
      <c r="AH93" s="14">
        <v>1952.0</v>
      </c>
      <c r="AI93" s="14">
        <v>1963.0</v>
      </c>
    </row>
    <row r="94">
      <c r="A94" s="6" t="s">
        <v>358</v>
      </c>
      <c r="B94" s="7" t="s">
        <v>359</v>
      </c>
      <c r="C94" s="6" t="s">
        <v>360</v>
      </c>
      <c r="D94" s="8">
        <v>2134.0</v>
      </c>
      <c r="E94" s="8">
        <v>36034.0</v>
      </c>
      <c r="F94" s="9"/>
      <c r="G94" s="9"/>
      <c r="H94" s="10"/>
      <c r="I94" s="10"/>
      <c r="J94" s="10"/>
      <c r="K94" s="11"/>
      <c r="L94" s="11"/>
      <c r="M94" s="11"/>
      <c r="N94" s="11"/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23">
        <v>1947.0</v>
      </c>
      <c r="AA94" s="14"/>
      <c r="AB94" s="13">
        <v>1947.0</v>
      </c>
      <c r="AC94" s="14"/>
      <c r="AD94" s="15">
        <v>1948.0</v>
      </c>
      <c r="AE94" s="14"/>
      <c r="AF94" s="36">
        <v>1948.0</v>
      </c>
      <c r="AG94" s="14"/>
      <c r="AH94" s="14">
        <v>1947.0</v>
      </c>
      <c r="AI94" s="14">
        <v>1970.0</v>
      </c>
    </row>
    <row r="95">
      <c r="A95" s="6" t="s">
        <v>361</v>
      </c>
      <c r="B95" s="7" t="s">
        <v>362</v>
      </c>
      <c r="C95" s="6" t="s">
        <v>363</v>
      </c>
      <c r="D95" s="8">
        <v>2354.0</v>
      </c>
      <c r="E95" s="8">
        <v>33604.0</v>
      </c>
      <c r="F95" s="9"/>
      <c r="G95" s="9"/>
      <c r="H95" s="10"/>
      <c r="I95" s="10"/>
      <c r="J95" s="10"/>
      <c r="K95" s="11"/>
      <c r="L95" s="11"/>
      <c r="M95" s="11"/>
      <c r="N95" s="11"/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3">
        <v>1958.0</v>
      </c>
      <c r="AC95" s="14"/>
      <c r="AD95" s="15">
        <v>1958.0</v>
      </c>
      <c r="AE95" s="14"/>
      <c r="AF95" s="36">
        <v>1958.0</v>
      </c>
      <c r="AG95" s="14"/>
      <c r="AH95" s="14">
        <v>1958.0</v>
      </c>
      <c r="AI95" s="14">
        <v>1970.0</v>
      </c>
    </row>
    <row r="96">
      <c r="A96" s="6" t="s">
        <v>364</v>
      </c>
      <c r="B96" s="7" t="s">
        <v>365</v>
      </c>
      <c r="C96" s="6" t="s">
        <v>366</v>
      </c>
      <c r="D96" s="8">
        <v>2467.0</v>
      </c>
      <c r="E96" s="8">
        <v>37514.0</v>
      </c>
      <c r="F96" s="9"/>
      <c r="G96" s="9"/>
      <c r="H96" s="10"/>
      <c r="I96" s="10"/>
      <c r="J96" s="10"/>
      <c r="K96" s="11"/>
      <c r="L96" s="11"/>
      <c r="M96" s="11"/>
      <c r="N96" s="11"/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36">
        <v>1967.0</v>
      </c>
      <c r="AG96" s="12"/>
      <c r="AH96" s="14">
        <v>1967.0</v>
      </c>
      <c r="AI96" s="14">
        <v>1970.0</v>
      </c>
    </row>
    <row r="97">
      <c r="A97" s="6" t="s">
        <v>367</v>
      </c>
      <c r="B97" s="7" t="s">
        <v>368</v>
      </c>
      <c r="C97" s="6" t="s">
        <v>369</v>
      </c>
      <c r="D97" s="8">
        <v>2470.0</v>
      </c>
      <c r="E97" s="8">
        <v>28452.0</v>
      </c>
      <c r="F97" s="9"/>
      <c r="G97" s="9"/>
      <c r="H97" s="10"/>
      <c r="I97" s="10"/>
      <c r="J97" s="10"/>
      <c r="K97" s="11"/>
      <c r="L97" s="11"/>
      <c r="M97" s="11"/>
      <c r="N97" s="11"/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23">
        <v>1948.0</v>
      </c>
      <c r="AA97" s="14"/>
      <c r="AB97" s="13">
        <v>1948.0</v>
      </c>
      <c r="AC97" s="14"/>
      <c r="AD97" s="15">
        <v>1948.0</v>
      </c>
      <c r="AE97" s="14"/>
      <c r="AF97" s="36">
        <v>1948.0</v>
      </c>
      <c r="AG97" s="14"/>
      <c r="AH97" s="14">
        <v>1948.0</v>
      </c>
      <c r="AI97" s="14">
        <v>1970.0</v>
      </c>
    </row>
    <row r="98">
      <c r="A98" s="6" t="s">
        <v>370</v>
      </c>
      <c r="B98" s="7" t="s">
        <v>371</v>
      </c>
      <c r="C98" s="6" t="s">
        <v>372</v>
      </c>
      <c r="D98" s="8">
        <v>2627.0</v>
      </c>
      <c r="E98" s="8">
        <v>31938.0</v>
      </c>
      <c r="F98" s="9"/>
      <c r="G98" s="9"/>
      <c r="H98" s="10"/>
      <c r="I98" s="10"/>
      <c r="J98" s="10"/>
      <c r="K98" s="11"/>
      <c r="L98" s="11"/>
      <c r="M98" s="11"/>
      <c r="N98" s="11"/>
      <c r="O98" s="11"/>
      <c r="P98" s="11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3">
        <v>1956.0</v>
      </c>
      <c r="AC98" s="14"/>
      <c r="AD98" s="15">
        <v>1956.0</v>
      </c>
      <c r="AE98" s="14"/>
      <c r="AF98" s="36">
        <v>1956.0</v>
      </c>
      <c r="AG98" s="14"/>
      <c r="AH98" s="14">
        <v>1956.0</v>
      </c>
      <c r="AI98" s="14">
        <v>1970.0</v>
      </c>
    </row>
    <row r="99">
      <c r="A99" s="6" t="s">
        <v>373</v>
      </c>
      <c r="B99" s="7" t="s">
        <v>374</v>
      </c>
      <c r="C99" s="6" t="s">
        <v>375</v>
      </c>
      <c r="D99" s="8">
        <v>2680.0</v>
      </c>
      <c r="E99" s="8">
        <v>33970.0</v>
      </c>
      <c r="F99" s="9"/>
      <c r="G99" s="9"/>
      <c r="H99" s="10"/>
      <c r="I99" s="10"/>
      <c r="J99" s="10"/>
      <c r="K99" s="11"/>
      <c r="L99" s="11"/>
      <c r="M99" s="11"/>
      <c r="N99" s="11"/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3">
        <v>1960.0</v>
      </c>
      <c r="AC99" s="14"/>
      <c r="AD99" s="15">
        <v>1960.0</v>
      </c>
      <c r="AE99" s="14"/>
      <c r="AF99" s="36">
        <v>1960.0</v>
      </c>
      <c r="AG99" s="14"/>
      <c r="AH99" s="14">
        <v>1960.0</v>
      </c>
      <c r="AI99" s="14">
        <v>1970.0</v>
      </c>
    </row>
    <row r="100">
      <c r="A100" s="6" t="s">
        <v>376</v>
      </c>
      <c r="B100" s="7" t="s">
        <v>377</v>
      </c>
      <c r="C100" s="6" t="s">
        <v>378</v>
      </c>
      <c r="D100" s="8">
        <v>2692.0</v>
      </c>
      <c r="E100" s="39">
        <v>23856.0</v>
      </c>
      <c r="F100" s="9"/>
      <c r="G100" s="9"/>
      <c r="H100" s="10"/>
      <c r="I100" s="10"/>
      <c r="J100" s="10"/>
      <c r="K100" s="11"/>
      <c r="L100" s="11"/>
      <c r="M100" s="11"/>
      <c r="N100" s="11"/>
      <c r="O100" s="11"/>
      <c r="P100" s="11"/>
      <c r="Q100" s="12"/>
      <c r="R100" s="12"/>
      <c r="S100" s="12"/>
      <c r="T100" s="12"/>
      <c r="U100" s="12"/>
      <c r="V100" s="12"/>
      <c r="W100" s="12"/>
      <c r="X100" s="12"/>
      <c r="Y100" s="12"/>
      <c r="Z100" s="23">
        <v>1953.0</v>
      </c>
      <c r="AA100" s="14"/>
      <c r="AB100" s="13">
        <v>1953.0</v>
      </c>
      <c r="AC100" s="14"/>
      <c r="AD100" s="15">
        <v>1953.0</v>
      </c>
      <c r="AE100" s="14"/>
      <c r="AF100" s="14"/>
      <c r="AG100" s="14"/>
      <c r="AH100" s="14">
        <v>1953.0</v>
      </c>
      <c r="AI100" s="14">
        <v>1964.0</v>
      </c>
    </row>
    <row r="101">
      <c r="A101" s="6" t="s">
        <v>379</v>
      </c>
      <c r="B101" s="7" t="s">
        <v>380</v>
      </c>
      <c r="C101" s="6" t="s">
        <v>381</v>
      </c>
      <c r="D101" s="8">
        <v>2782.0</v>
      </c>
      <c r="E101" s="8">
        <v>40354.0</v>
      </c>
      <c r="F101" s="9"/>
      <c r="G101" s="9"/>
      <c r="H101" s="10"/>
      <c r="I101" s="10"/>
      <c r="J101" s="10"/>
      <c r="K101" s="11"/>
      <c r="L101" s="11"/>
      <c r="M101" s="11"/>
      <c r="N101" s="11"/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36">
        <v>1964.0</v>
      </c>
      <c r="AG101" s="12"/>
      <c r="AH101" s="14">
        <v>1964.0</v>
      </c>
      <c r="AI101" s="14">
        <v>1970.0</v>
      </c>
    </row>
    <row r="102">
      <c r="A102" s="6" t="s">
        <v>382</v>
      </c>
      <c r="B102" s="7" t="s">
        <v>383</v>
      </c>
      <c r="C102" s="6" t="s">
        <v>384</v>
      </c>
      <c r="D102" s="8">
        <v>2884.0</v>
      </c>
      <c r="E102" s="8">
        <v>31424.0</v>
      </c>
      <c r="F102" s="9"/>
      <c r="G102" s="9"/>
      <c r="H102" s="10"/>
      <c r="I102" s="10"/>
      <c r="J102" s="10"/>
      <c r="K102" s="11"/>
      <c r="L102" s="11"/>
      <c r="M102" s="11"/>
      <c r="N102" s="11"/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3">
        <v>1960.0</v>
      </c>
      <c r="AC102" s="14"/>
      <c r="AD102" s="15">
        <v>1960.0</v>
      </c>
      <c r="AE102" s="14"/>
      <c r="AF102" s="36">
        <v>1960.0</v>
      </c>
      <c r="AG102" s="14"/>
      <c r="AH102" s="14">
        <v>1960.0</v>
      </c>
      <c r="AI102" s="14">
        <v>1970.0</v>
      </c>
    </row>
    <row r="103">
      <c r="A103" s="6" t="s">
        <v>385</v>
      </c>
      <c r="B103" s="7" t="s">
        <v>386</v>
      </c>
      <c r="C103" s="6" t="s">
        <v>387</v>
      </c>
      <c r="D103" s="8">
        <v>2906.0</v>
      </c>
      <c r="E103" s="8">
        <v>36487.0</v>
      </c>
      <c r="F103" s="9"/>
      <c r="G103" s="9"/>
      <c r="H103" s="10"/>
      <c r="I103" s="10"/>
      <c r="J103" s="10"/>
      <c r="K103" s="11"/>
      <c r="L103" s="11"/>
      <c r="M103" s="11"/>
      <c r="N103" s="11"/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3">
        <v>1956.0</v>
      </c>
      <c r="AC103" s="14"/>
      <c r="AD103" s="15">
        <v>1956.0</v>
      </c>
      <c r="AE103" s="14"/>
      <c r="AF103" s="36">
        <v>1956.0</v>
      </c>
      <c r="AG103" s="14"/>
      <c r="AH103" s="14">
        <v>1956.0</v>
      </c>
      <c r="AI103" s="14">
        <v>1970.0</v>
      </c>
    </row>
    <row r="104">
      <c r="A104" s="6" t="s">
        <v>388</v>
      </c>
      <c r="B104" s="7" t="s">
        <v>389</v>
      </c>
      <c r="C104" s="6" t="s">
        <v>390</v>
      </c>
      <c r="D104" s="8">
        <v>3037.0</v>
      </c>
      <c r="E104" s="8">
        <v>33118.0</v>
      </c>
      <c r="F104" s="9"/>
      <c r="G104" s="9"/>
      <c r="H104" s="10"/>
      <c r="I104" s="10"/>
      <c r="J104" s="10"/>
      <c r="K104" s="11"/>
      <c r="L104" s="11"/>
      <c r="M104" s="11"/>
      <c r="N104" s="11"/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23">
        <v>1949.0</v>
      </c>
      <c r="AA104" s="14"/>
      <c r="AB104" s="13">
        <v>1949.0</v>
      </c>
      <c r="AC104" s="14"/>
      <c r="AD104" s="15">
        <v>1949.0</v>
      </c>
      <c r="AE104" s="14"/>
      <c r="AF104" s="36">
        <v>1949.0</v>
      </c>
      <c r="AG104" s="14"/>
      <c r="AH104" s="14">
        <v>1949.0</v>
      </c>
      <c r="AI104" s="14">
        <v>1970.0</v>
      </c>
    </row>
    <row r="105">
      <c r="A105" s="6" t="s">
        <v>391</v>
      </c>
      <c r="B105" s="7" t="s">
        <v>392</v>
      </c>
      <c r="C105" s="6" t="s">
        <v>393</v>
      </c>
      <c r="D105" s="8">
        <v>3164.0</v>
      </c>
      <c r="E105" s="8">
        <v>32215.0</v>
      </c>
      <c r="F105" s="9"/>
      <c r="G105" s="9"/>
      <c r="H105" s="10"/>
      <c r="I105" s="10"/>
      <c r="J105" s="10"/>
      <c r="K105" s="11"/>
      <c r="L105" s="11"/>
      <c r="M105" s="11"/>
      <c r="N105" s="11"/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3">
        <v>1960.0</v>
      </c>
      <c r="AC105" s="12"/>
      <c r="AD105" s="15">
        <v>1960.0</v>
      </c>
      <c r="AE105" s="12"/>
      <c r="AF105" s="36">
        <v>1960.0</v>
      </c>
      <c r="AG105" s="12"/>
      <c r="AH105" s="14">
        <v>1960.0</v>
      </c>
      <c r="AI105" s="14">
        <v>1970.0</v>
      </c>
    </row>
    <row r="106">
      <c r="A106" s="6" t="s">
        <v>394</v>
      </c>
      <c r="B106" s="7" t="s">
        <v>395</v>
      </c>
      <c r="C106" s="6" t="s">
        <v>396</v>
      </c>
      <c r="D106" s="8">
        <v>3551.0</v>
      </c>
      <c r="E106" s="8">
        <v>30324.0</v>
      </c>
      <c r="F106" s="9"/>
      <c r="G106" s="9"/>
      <c r="H106" s="10"/>
      <c r="I106" s="10"/>
      <c r="J106" s="10"/>
      <c r="K106" s="11"/>
      <c r="L106" s="11"/>
      <c r="M106" s="11"/>
      <c r="N106" s="11"/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3">
        <v>1957.0</v>
      </c>
      <c r="AC106" s="14"/>
      <c r="AD106" s="15">
        <v>1957.0</v>
      </c>
      <c r="AE106" s="14"/>
      <c r="AF106" s="36">
        <v>1957.0</v>
      </c>
      <c r="AG106" s="14"/>
      <c r="AH106" s="14">
        <v>1957.0</v>
      </c>
      <c r="AI106" s="14">
        <v>1970.0</v>
      </c>
    </row>
    <row r="107">
      <c r="A107" s="6" t="s">
        <v>397</v>
      </c>
      <c r="B107" s="7" t="s">
        <v>398</v>
      </c>
      <c r="C107" s="6" t="s">
        <v>399</v>
      </c>
      <c r="D107" s="8">
        <v>3652.0</v>
      </c>
      <c r="E107" s="8">
        <v>34153.0</v>
      </c>
      <c r="F107" s="16"/>
      <c r="G107" s="16"/>
      <c r="H107" s="9"/>
      <c r="I107" s="9"/>
      <c r="J107" s="10"/>
      <c r="K107" s="11"/>
      <c r="L107" s="11"/>
      <c r="M107" s="11"/>
      <c r="N107" s="11"/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3">
        <v>1958.0</v>
      </c>
      <c r="AC107" s="14"/>
      <c r="AD107" s="15">
        <v>1958.0</v>
      </c>
      <c r="AE107" s="14"/>
      <c r="AF107" s="36">
        <v>1969.0</v>
      </c>
      <c r="AG107" s="14" t="s">
        <v>29</v>
      </c>
      <c r="AH107" s="14">
        <v>1958.0</v>
      </c>
      <c r="AI107" s="14">
        <v>1969.0</v>
      </c>
    </row>
    <row r="108">
      <c r="A108" s="6" t="s">
        <v>400</v>
      </c>
      <c r="B108" s="7" t="s">
        <v>401</v>
      </c>
      <c r="C108" s="6" t="s">
        <v>402</v>
      </c>
      <c r="D108" s="8">
        <v>3731.0</v>
      </c>
      <c r="E108" s="8">
        <v>28302.0</v>
      </c>
      <c r="F108" s="9"/>
      <c r="G108" s="9"/>
      <c r="H108" s="10"/>
      <c r="I108" s="10"/>
      <c r="J108" s="10"/>
      <c r="K108" s="11"/>
      <c r="L108" s="11"/>
      <c r="M108" s="11"/>
      <c r="N108" s="11"/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5">
        <v>1963.0</v>
      </c>
      <c r="AE108" s="12"/>
      <c r="AF108" s="36">
        <v>1963.0</v>
      </c>
      <c r="AG108" s="12"/>
      <c r="AH108" s="14">
        <v>1963.0</v>
      </c>
      <c r="AI108" s="14">
        <v>1970.0</v>
      </c>
    </row>
    <row r="109">
      <c r="A109" s="6" t="s">
        <v>403</v>
      </c>
      <c r="B109" s="7" t="s">
        <v>404</v>
      </c>
      <c r="C109" s="6" t="s">
        <v>405</v>
      </c>
      <c r="D109" s="8">
        <v>3771.0</v>
      </c>
      <c r="E109" s="8">
        <v>36904.0</v>
      </c>
      <c r="F109" s="9"/>
      <c r="G109" s="9"/>
      <c r="H109" s="10"/>
      <c r="I109" s="10"/>
      <c r="J109" s="10"/>
      <c r="K109" s="11"/>
      <c r="L109" s="11"/>
      <c r="M109" s="11"/>
      <c r="N109" s="11"/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23">
        <v>1948.0</v>
      </c>
      <c r="AA109" s="14"/>
      <c r="AB109" s="13">
        <v>1948.0</v>
      </c>
      <c r="AC109" s="14"/>
      <c r="AD109" s="15">
        <v>1948.0</v>
      </c>
      <c r="AE109" s="14"/>
      <c r="AF109" s="36">
        <v>1948.0</v>
      </c>
      <c r="AG109" s="14"/>
      <c r="AH109" s="14">
        <v>1948.0</v>
      </c>
      <c r="AI109" s="14">
        <v>1970.0</v>
      </c>
    </row>
    <row r="110">
      <c r="A110" s="6" t="s">
        <v>406</v>
      </c>
      <c r="B110" s="7" t="s">
        <v>407</v>
      </c>
      <c r="C110" s="6" t="s">
        <v>408</v>
      </c>
      <c r="D110" s="8">
        <v>3941.0</v>
      </c>
      <c r="E110" s="8">
        <v>35771.0</v>
      </c>
      <c r="F110" s="9"/>
      <c r="G110" s="9"/>
      <c r="H110" s="10"/>
      <c r="I110" s="10"/>
      <c r="J110" s="10"/>
      <c r="K110" s="11"/>
      <c r="L110" s="11"/>
      <c r="M110" s="11"/>
      <c r="N110" s="11"/>
      <c r="O110" s="11"/>
      <c r="P110" s="11"/>
      <c r="Q110" s="12"/>
      <c r="R110" s="12"/>
      <c r="S110" s="12"/>
      <c r="T110" s="12"/>
      <c r="U110" s="12"/>
      <c r="V110" s="29">
        <v>1944.0</v>
      </c>
      <c r="W110" s="12"/>
      <c r="X110" s="22">
        <v>1946.0</v>
      </c>
      <c r="Y110" s="12"/>
      <c r="Z110" s="23">
        <v>1946.0</v>
      </c>
      <c r="AA110" s="14"/>
      <c r="AB110" s="13">
        <v>1946.0</v>
      </c>
      <c r="AC110" s="14"/>
      <c r="AD110" s="15">
        <v>1946.0</v>
      </c>
      <c r="AE110" s="14"/>
      <c r="AF110" s="14"/>
      <c r="AG110" s="14"/>
      <c r="AH110" s="14">
        <v>1944.0</v>
      </c>
      <c r="AI110" s="14">
        <v>1970.0</v>
      </c>
    </row>
    <row r="111">
      <c r="A111" s="6" t="s">
        <v>409</v>
      </c>
      <c r="B111" s="7" t="s">
        <v>410</v>
      </c>
      <c r="C111" s="6" t="s">
        <v>411</v>
      </c>
      <c r="D111" s="8">
        <v>4009.0</v>
      </c>
      <c r="E111" s="8">
        <v>40098.0</v>
      </c>
      <c r="F111" s="9"/>
      <c r="G111" s="9"/>
      <c r="H111" s="10"/>
      <c r="I111" s="10"/>
      <c r="J111" s="10"/>
      <c r="K111" s="11"/>
      <c r="L111" s="11"/>
      <c r="M111" s="11"/>
      <c r="N111" s="11"/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3">
        <v>1959.0</v>
      </c>
      <c r="AC111" s="14"/>
      <c r="AD111" s="15">
        <v>1959.0</v>
      </c>
      <c r="AE111" s="14"/>
      <c r="AF111" s="36">
        <v>1959.0</v>
      </c>
      <c r="AG111" s="14"/>
      <c r="AH111" s="14">
        <v>1959.0</v>
      </c>
      <c r="AI111" s="14">
        <v>1970.0</v>
      </c>
    </row>
    <row r="112">
      <c r="A112" s="6" t="s">
        <v>412</v>
      </c>
      <c r="B112" s="35"/>
      <c r="C112" s="6" t="s">
        <v>413</v>
      </c>
      <c r="D112" s="8">
        <v>4051.0</v>
      </c>
      <c r="E112" s="8">
        <v>40400.0</v>
      </c>
      <c r="F112" s="9"/>
      <c r="G112" s="9"/>
      <c r="H112" s="10"/>
      <c r="I112" s="10"/>
      <c r="J112" s="10"/>
      <c r="K112" s="11"/>
      <c r="L112" s="11"/>
      <c r="M112" s="11"/>
      <c r="N112" s="11"/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3">
        <v>1957.0</v>
      </c>
      <c r="AC112" s="14"/>
      <c r="AD112" s="15">
        <v>1957.0</v>
      </c>
      <c r="AE112" s="14"/>
      <c r="AF112" s="36">
        <v>1957.0</v>
      </c>
      <c r="AG112" s="14"/>
      <c r="AH112" s="14">
        <v>1957.0</v>
      </c>
      <c r="AI112" s="14">
        <v>1970.0</v>
      </c>
    </row>
    <row r="113">
      <c r="A113" s="6" t="s">
        <v>414</v>
      </c>
      <c r="B113" s="7" t="s">
        <v>415</v>
      </c>
      <c r="C113" s="6" t="s">
        <v>416</v>
      </c>
      <c r="D113" s="8">
        <v>4872.0</v>
      </c>
      <c r="E113" s="8">
        <v>30481.0</v>
      </c>
      <c r="F113" s="9"/>
      <c r="G113" s="9"/>
      <c r="H113" s="10"/>
      <c r="I113" s="10"/>
      <c r="J113" s="10"/>
      <c r="K113" s="11"/>
      <c r="L113" s="11"/>
      <c r="M113" s="11"/>
      <c r="N113" s="11"/>
      <c r="O113" s="11"/>
      <c r="P113" s="11"/>
      <c r="Q113" s="12"/>
      <c r="R113" s="12"/>
      <c r="S113" s="12"/>
      <c r="T113" s="12"/>
      <c r="U113" s="12"/>
      <c r="V113" s="12"/>
      <c r="W113" s="12"/>
      <c r="X113" s="12"/>
      <c r="Y113" s="12"/>
      <c r="Z113" s="23">
        <v>1954.0</v>
      </c>
      <c r="AA113" s="14"/>
      <c r="AB113" s="13">
        <v>1954.0</v>
      </c>
      <c r="AC113" s="14"/>
      <c r="AD113" s="15">
        <v>1954.0</v>
      </c>
      <c r="AE113" s="14"/>
      <c r="AF113" s="36">
        <v>1954.0</v>
      </c>
      <c r="AG113" s="14"/>
      <c r="AH113" s="14">
        <v>1954.0</v>
      </c>
      <c r="AI113" s="14">
        <v>1970.0</v>
      </c>
    </row>
    <row r="114">
      <c r="A114" s="6" t="s">
        <v>417</v>
      </c>
      <c r="B114" s="7" t="s">
        <v>418</v>
      </c>
      <c r="C114" s="6" t="s">
        <v>419</v>
      </c>
      <c r="D114" s="8">
        <v>4884.0</v>
      </c>
      <c r="E114" s="8">
        <v>38732.0</v>
      </c>
      <c r="F114" s="9"/>
      <c r="G114" s="9"/>
      <c r="H114" s="10"/>
      <c r="I114" s="10"/>
      <c r="J114" s="10"/>
      <c r="K114" s="11"/>
      <c r="L114" s="11"/>
      <c r="M114" s="11"/>
      <c r="N114" s="11"/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3">
        <v>1955.0</v>
      </c>
      <c r="AC114" s="14"/>
      <c r="AD114" s="15">
        <v>1955.0</v>
      </c>
      <c r="AE114" s="14"/>
      <c r="AF114" s="36">
        <v>1955.0</v>
      </c>
      <c r="AG114" s="14"/>
      <c r="AH114" s="14">
        <v>1955.0</v>
      </c>
      <c r="AI114" s="14">
        <v>1970.0</v>
      </c>
    </row>
    <row r="115">
      <c r="A115" s="6" t="s">
        <v>420</v>
      </c>
      <c r="B115" s="7" t="s">
        <v>421</v>
      </c>
      <c r="C115" s="6" t="s">
        <v>422</v>
      </c>
      <c r="D115" s="8">
        <v>4920.0</v>
      </c>
      <c r="E115" s="8">
        <v>37930.0</v>
      </c>
      <c r="F115" s="9"/>
      <c r="G115" s="9"/>
      <c r="H115" s="10"/>
      <c r="I115" s="10"/>
      <c r="J115" s="10"/>
      <c r="K115" s="11"/>
      <c r="L115" s="11"/>
      <c r="M115" s="11"/>
      <c r="N115" s="11"/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23">
        <v>1952.0</v>
      </c>
      <c r="AA115" s="14"/>
      <c r="AB115" s="13">
        <v>1952.0</v>
      </c>
      <c r="AC115" s="14"/>
      <c r="AD115" s="15">
        <v>1952.0</v>
      </c>
      <c r="AE115" s="14"/>
      <c r="AF115" s="36">
        <v>1952.0</v>
      </c>
      <c r="AG115" s="14"/>
      <c r="AH115" s="14">
        <v>1952.0</v>
      </c>
      <c r="AI115" s="14">
        <v>1970.0</v>
      </c>
    </row>
    <row r="116">
      <c r="A116" s="38" t="s">
        <v>423</v>
      </c>
      <c r="B116" s="7" t="s">
        <v>424</v>
      </c>
      <c r="C116" s="6" t="s">
        <v>425</v>
      </c>
      <c r="D116" s="33">
        <v>4940.0</v>
      </c>
      <c r="E116" s="33">
        <v>26834.0</v>
      </c>
      <c r="F116" s="9"/>
      <c r="G116" s="9"/>
      <c r="H116" s="10"/>
      <c r="I116" s="10"/>
      <c r="J116" s="10"/>
      <c r="K116" s="11"/>
      <c r="L116" s="11"/>
      <c r="M116" s="11"/>
      <c r="N116" s="21"/>
      <c r="O116" s="11"/>
      <c r="P116" s="21"/>
      <c r="Q116" s="12"/>
      <c r="R116" s="14"/>
      <c r="S116" s="12"/>
      <c r="T116" s="14"/>
      <c r="U116" s="12"/>
      <c r="V116" s="14"/>
      <c r="W116" s="12"/>
      <c r="X116" s="14"/>
      <c r="Y116" s="12"/>
      <c r="Z116" s="14"/>
      <c r="AA116" s="14"/>
      <c r="AB116" s="14"/>
      <c r="AC116" s="14"/>
      <c r="AD116" s="14"/>
      <c r="AE116" s="14"/>
      <c r="AF116" s="36">
        <v>1969.0</v>
      </c>
      <c r="AG116" s="14"/>
      <c r="AH116" s="14">
        <v>1969.0</v>
      </c>
      <c r="AI116" s="14">
        <v>1970.0</v>
      </c>
    </row>
    <row r="117">
      <c r="A117" s="6" t="s">
        <v>426</v>
      </c>
      <c r="B117" s="7" t="s">
        <v>427</v>
      </c>
      <c r="C117" s="6" t="s">
        <v>428</v>
      </c>
      <c r="D117" s="8">
        <v>4989.0</v>
      </c>
      <c r="E117" s="8">
        <v>30600.0</v>
      </c>
      <c r="F117" s="9"/>
      <c r="G117" s="9"/>
      <c r="H117" s="10"/>
      <c r="I117" s="10"/>
      <c r="J117" s="10"/>
      <c r="K117" s="11"/>
      <c r="L117" s="11"/>
      <c r="M117" s="11"/>
      <c r="N117" s="11"/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3">
        <v>1962.0</v>
      </c>
      <c r="AC117" s="14"/>
      <c r="AD117" s="15">
        <v>1962.0</v>
      </c>
      <c r="AE117" s="14"/>
      <c r="AF117" s="36">
        <v>1962.0</v>
      </c>
      <c r="AG117" s="14"/>
      <c r="AH117" s="14">
        <v>1962.0</v>
      </c>
      <c r="AI117" s="14">
        <v>1970.0</v>
      </c>
    </row>
    <row r="118">
      <c r="A118" s="6" t="s">
        <v>429</v>
      </c>
      <c r="B118" s="7" t="s">
        <v>430</v>
      </c>
      <c r="C118" s="6" t="s">
        <v>431</v>
      </c>
      <c r="D118" s="8">
        <v>5294.0</v>
      </c>
      <c r="E118" s="8">
        <v>39224.0</v>
      </c>
      <c r="F118" s="9"/>
      <c r="G118" s="9"/>
      <c r="H118" s="10"/>
      <c r="I118" s="10"/>
      <c r="J118" s="10"/>
      <c r="K118" s="11"/>
      <c r="L118" s="11"/>
      <c r="M118" s="11"/>
      <c r="N118" s="11"/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3">
        <v>1961.0</v>
      </c>
      <c r="AC118" s="14"/>
      <c r="AD118" s="15">
        <v>1961.0</v>
      </c>
      <c r="AE118" s="14"/>
      <c r="AF118" s="36">
        <v>1961.0</v>
      </c>
      <c r="AG118" s="14"/>
      <c r="AH118" s="14">
        <v>1961.0</v>
      </c>
      <c r="AI118" s="14">
        <v>1970.0</v>
      </c>
    </row>
    <row r="119">
      <c r="A119" s="6" t="s">
        <v>432</v>
      </c>
      <c r="B119" s="7" t="s">
        <v>433</v>
      </c>
      <c r="C119" s="6" t="s">
        <v>434</v>
      </c>
      <c r="D119" s="8">
        <v>5564.0</v>
      </c>
      <c r="E119" s="8">
        <v>34659.0</v>
      </c>
      <c r="F119" s="9"/>
      <c r="G119" s="9"/>
      <c r="H119" s="10"/>
      <c r="I119" s="10"/>
      <c r="J119" s="10"/>
      <c r="K119" s="11"/>
      <c r="L119" s="11"/>
      <c r="M119" s="11"/>
      <c r="N119" s="11"/>
      <c r="O119" s="11"/>
      <c r="P119" s="11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36">
        <v>1967.0</v>
      </c>
      <c r="AG119" s="12"/>
      <c r="AH119" s="14">
        <v>1967.0</v>
      </c>
      <c r="AI119" s="14">
        <v>1970.0</v>
      </c>
    </row>
    <row r="120">
      <c r="A120" s="6" t="s">
        <v>435</v>
      </c>
      <c r="B120" s="7" t="s">
        <v>436</v>
      </c>
      <c r="C120" s="6" t="s">
        <v>437</v>
      </c>
      <c r="D120" s="8">
        <v>5679.0</v>
      </c>
      <c r="E120" s="8">
        <v>39620.0</v>
      </c>
      <c r="F120" s="9"/>
      <c r="G120" s="9"/>
      <c r="H120" s="10"/>
      <c r="I120" s="10"/>
      <c r="J120" s="10"/>
      <c r="K120" s="11"/>
      <c r="L120" s="11"/>
      <c r="M120" s="11"/>
      <c r="N120" s="11"/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36">
        <v>1968.0</v>
      </c>
      <c r="AG120" s="12"/>
      <c r="AH120" s="14">
        <v>1968.0</v>
      </c>
      <c r="AI120" s="14">
        <v>1970.0</v>
      </c>
    </row>
    <row r="121">
      <c r="A121" s="6" t="s">
        <v>438</v>
      </c>
      <c r="B121" s="7" t="s">
        <v>439</v>
      </c>
      <c r="C121" s="6" t="s">
        <v>440</v>
      </c>
      <c r="D121" s="8">
        <v>5845.0</v>
      </c>
      <c r="E121" s="8">
        <v>39083.0</v>
      </c>
      <c r="F121" s="9"/>
      <c r="G121" s="9"/>
      <c r="H121" s="10"/>
      <c r="I121" s="10"/>
      <c r="J121" s="10"/>
      <c r="K121" s="11"/>
      <c r="L121" s="11"/>
      <c r="M121" s="11"/>
      <c r="N121" s="11"/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3">
        <v>1960.0</v>
      </c>
      <c r="AC121" s="14"/>
      <c r="AD121" s="15">
        <v>1960.0</v>
      </c>
      <c r="AE121" s="14"/>
      <c r="AF121" s="36">
        <v>1960.0</v>
      </c>
      <c r="AG121" s="14"/>
      <c r="AH121" s="14">
        <v>1960.0</v>
      </c>
      <c r="AI121" s="14">
        <v>1970.0</v>
      </c>
    </row>
    <row r="122">
      <c r="A122" s="6" t="s">
        <v>441</v>
      </c>
      <c r="B122" s="7" t="s">
        <v>442</v>
      </c>
      <c r="C122" s="6" t="s">
        <v>443</v>
      </c>
      <c r="D122" s="8">
        <v>5854.0</v>
      </c>
      <c r="E122" s="8">
        <v>38214.0</v>
      </c>
      <c r="F122" s="9"/>
      <c r="G122" s="9"/>
      <c r="H122" s="10"/>
      <c r="I122" s="10"/>
      <c r="J122" s="10"/>
      <c r="K122" s="11"/>
      <c r="L122" s="11"/>
      <c r="M122" s="11"/>
      <c r="N122" s="11"/>
      <c r="O122" s="11"/>
      <c r="P122" s="11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3">
        <v>1958.0</v>
      </c>
      <c r="AC122" s="14"/>
      <c r="AD122" s="15">
        <v>1958.0</v>
      </c>
      <c r="AE122" s="14"/>
      <c r="AF122" s="36">
        <v>1958.0</v>
      </c>
      <c r="AG122" s="14"/>
      <c r="AH122" s="14">
        <v>1958.0</v>
      </c>
      <c r="AI122" s="14">
        <v>1970.0</v>
      </c>
    </row>
    <row r="123">
      <c r="A123" s="6" t="s">
        <v>444</v>
      </c>
      <c r="B123" s="7" t="s">
        <v>445</v>
      </c>
      <c r="C123" s="6" t="s">
        <v>446</v>
      </c>
      <c r="D123" s="8">
        <v>5939.0</v>
      </c>
      <c r="E123" s="8">
        <v>35366.0</v>
      </c>
      <c r="F123" s="40"/>
      <c r="G123" s="40"/>
      <c r="H123" s="10"/>
      <c r="I123" s="10"/>
      <c r="J123" s="10"/>
      <c r="K123" s="11"/>
      <c r="L123" s="11"/>
      <c r="M123" s="11"/>
      <c r="N123" s="11"/>
      <c r="O123" s="11"/>
      <c r="P123" s="11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3">
        <v>1958.0</v>
      </c>
      <c r="AC123" s="14"/>
      <c r="AD123" s="15">
        <v>1958.0</v>
      </c>
      <c r="AE123" s="14"/>
      <c r="AF123" s="36">
        <v>1958.0</v>
      </c>
      <c r="AG123" s="14"/>
      <c r="AH123" s="14">
        <v>1958.0</v>
      </c>
      <c r="AI123" s="14">
        <v>1970.0</v>
      </c>
    </row>
    <row r="124">
      <c r="A124" s="6" t="s">
        <v>447</v>
      </c>
      <c r="B124" s="7" t="s">
        <v>448</v>
      </c>
      <c r="C124" s="6" t="s">
        <v>449</v>
      </c>
      <c r="D124" s="8">
        <v>6050.0</v>
      </c>
      <c r="E124" s="8">
        <v>23818.0</v>
      </c>
      <c r="F124" s="9"/>
      <c r="G124" s="9"/>
      <c r="H124" s="10"/>
      <c r="I124" s="10"/>
      <c r="J124" s="10"/>
      <c r="K124" s="11"/>
      <c r="L124" s="11"/>
      <c r="M124" s="11"/>
      <c r="N124" s="11"/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3">
        <v>1962.0</v>
      </c>
      <c r="AC124" s="14"/>
      <c r="AD124" s="15">
        <v>1962.0</v>
      </c>
      <c r="AE124" s="14"/>
      <c r="AF124" s="14"/>
      <c r="AG124" s="14"/>
      <c r="AH124" s="14">
        <v>1962.0</v>
      </c>
      <c r="AI124" s="14">
        <v>1964.0</v>
      </c>
    </row>
    <row r="125">
      <c r="A125" s="6" t="s">
        <v>450</v>
      </c>
      <c r="B125" s="7" t="s">
        <v>451</v>
      </c>
      <c r="C125" s="6" t="s">
        <v>452</v>
      </c>
      <c r="D125" s="8">
        <v>6051.0</v>
      </c>
      <c r="E125" s="8">
        <v>35559.0</v>
      </c>
      <c r="F125" s="9"/>
      <c r="G125" s="9"/>
      <c r="H125" s="10"/>
      <c r="I125" s="10"/>
      <c r="J125" s="10"/>
      <c r="K125" s="11"/>
      <c r="L125" s="11"/>
      <c r="M125" s="11"/>
      <c r="N125" s="11"/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3">
        <v>1961.0</v>
      </c>
      <c r="AC125" s="14"/>
      <c r="AD125" s="15">
        <v>1961.0</v>
      </c>
      <c r="AE125" s="14"/>
      <c r="AF125" s="36">
        <v>1961.0</v>
      </c>
      <c r="AG125" s="14"/>
      <c r="AH125" s="14">
        <v>1961.0</v>
      </c>
      <c r="AI125" s="14">
        <v>1970.0</v>
      </c>
    </row>
    <row r="126">
      <c r="A126" s="6" t="s">
        <v>453</v>
      </c>
      <c r="B126" s="7" t="s">
        <v>454</v>
      </c>
      <c r="C126" s="6" t="s">
        <v>455</v>
      </c>
      <c r="D126" s="8">
        <v>6066.0</v>
      </c>
      <c r="E126" s="8">
        <v>31418.0</v>
      </c>
      <c r="F126" s="9"/>
      <c r="G126" s="9"/>
      <c r="H126" s="10"/>
      <c r="I126" s="10"/>
      <c r="J126" s="10"/>
      <c r="K126" s="11"/>
      <c r="L126" s="11"/>
      <c r="M126" s="11"/>
      <c r="N126" s="11"/>
      <c r="O126" s="11"/>
      <c r="P126" s="11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3">
        <v>1961.0</v>
      </c>
      <c r="AC126" s="14"/>
      <c r="AD126" s="15">
        <v>1961.0</v>
      </c>
      <c r="AE126" s="14"/>
      <c r="AF126" s="36">
        <v>1961.0</v>
      </c>
      <c r="AG126" s="14"/>
      <c r="AH126" s="14">
        <v>1961.0</v>
      </c>
      <c r="AI126" s="14">
        <v>1970.0</v>
      </c>
    </row>
    <row r="127">
      <c r="A127" s="6" t="s">
        <v>456</v>
      </c>
      <c r="B127" s="7" t="s">
        <v>457</v>
      </c>
      <c r="C127" s="6" t="s">
        <v>458</v>
      </c>
      <c r="D127" s="8">
        <v>6682.0</v>
      </c>
      <c r="E127" s="8">
        <v>35791.0</v>
      </c>
      <c r="F127" s="9"/>
      <c r="G127" s="9"/>
      <c r="H127" s="10"/>
      <c r="I127" s="10"/>
      <c r="J127" s="10"/>
      <c r="K127" s="11"/>
      <c r="L127" s="11"/>
      <c r="M127" s="11"/>
      <c r="N127" s="11"/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36">
        <v>1969.0</v>
      </c>
      <c r="AG127" s="12"/>
      <c r="AH127" s="14">
        <v>1969.0</v>
      </c>
      <c r="AI127" s="14">
        <v>1970.0</v>
      </c>
    </row>
    <row r="128">
      <c r="A128" s="6" t="s">
        <v>459</v>
      </c>
      <c r="B128" s="7" t="s">
        <v>460</v>
      </c>
      <c r="C128" s="6" t="s">
        <v>461</v>
      </c>
      <c r="D128" s="8">
        <v>6912.0</v>
      </c>
      <c r="E128" s="8">
        <v>39862.0</v>
      </c>
      <c r="F128" s="9"/>
      <c r="G128" s="9"/>
      <c r="H128" s="10"/>
      <c r="I128" s="10"/>
      <c r="J128" s="10"/>
      <c r="K128" s="11"/>
      <c r="L128" s="11"/>
      <c r="M128" s="11"/>
      <c r="N128" s="11"/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36">
        <v>1966.0</v>
      </c>
      <c r="AG128" s="12"/>
      <c r="AH128" s="14">
        <v>1966.0</v>
      </c>
      <c r="AI128" s="14">
        <v>1970.0</v>
      </c>
    </row>
    <row r="129">
      <c r="A129" s="6" t="s">
        <v>462</v>
      </c>
      <c r="B129" s="35"/>
      <c r="C129" s="6" t="s">
        <v>463</v>
      </c>
      <c r="D129" s="8">
        <v>7245.0</v>
      </c>
      <c r="E129" s="8"/>
      <c r="F129" s="9"/>
      <c r="G129" s="9"/>
      <c r="H129" s="10"/>
      <c r="I129" s="10"/>
      <c r="J129" s="10"/>
      <c r="K129" s="11"/>
      <c r="L129" s="11"/>
      <c r="M129" s="11"/>
      <c r="N129" s="11"/>
      <c r="O129" s="11"/>
      <c r="P129" s="11"/>
      <c r="Q129" s="12"/>
      <c r="R129" s="12"/>
      <c r="S129" s="12"/>
      <c r="T129" s="12"/>
      <c r="U129" s="12"/>
      <c r="V129" s="14"/>
      <c r="W129" s="12"/>
      <c r="X129" s="14"/>
      <c r="Y129" s="12"/>
      <c r="Z129" s="14"/>
      <c r="AA129" s="14"/>
      <c r="AB129" s="14"/>
      <c r="AC129" s="14"/>
      <c r="AD129" s="14"/>
      <c r="AE129" s="14"/>
      <c r="AF129" s="36">
        <v>1969.0</v>
      </c>
      <c r="AG129" s="14"/>
      <c r="AH129" s="14">
        <v>1969.0</v>
      </c>
      <c r="AI129" s="14">
        <v>1970.0</v>
      </c>
    </row>
    <row r="130">
      <c r="A130" s="6" t="s">
        <v>464</v>
      </c>
      <c r="B130" s="35"/>
      <c r="C130" s="6" t="s">
        <v>465</v>
      </c>
      <c r="D130" s="8">
        <v>7356.0</v>
      </c>
      <c r="E130" s="6">
        <v>2006.0</v>
      </c>
      <c r="F130" s="9"/>
      <c r="G130" s="9"/>
      <c r="H130" s="10"/>
      <c r="I130" s="10"/>
      <c r="J130" s="10"/>
      <c r="K130" s="11"/>
      <c r="L130" s="11"/>
      <c r="M130" s="11"/>
      <c r="N130" s="11"/>
      <c r="O130" s="11"/>
      <c r="P130" s="11"/>
      <c r="Q130" s="12"/>
      <c r="R130" s="12"/>
      <c r="S130" s="12"/>
      <c r="T130" s="12"/>
      <c r="U130" s="12"/>
      <c r="V130" s="14"/>
      <c r="W130" s="12"/>
      <c r="X130" s="14"/>
      <c r="Y130" s="12"/>
      <c r="Z130" s="14"/>
      <c r="AA130" s="14"/>
      <c r="AB130" s="13">
        <v>1957.0</v>
      </c>
      <c r="AC130" s="14"/>
      <c r="AD130" s="15">
        <v>1957.0</v>
      </c>
      <c r="AE130" s="14"/>
      <c r="AF130" s="36">
        <v>1957.0</v>
      </c>
      <c r="AG130" s="14"/>
      <c r="AH130" s="14">
        <v>1957.0</v>
      </c>
      <c r="AI130" s="14">
        <v>1970.0</v>
      </c>
    </row>
    <row r="131">
      <c r="A131" s="6" t="s">
        <v>466</v>
      </c>
      <c r="B131" s="7" t="s">
        <v>467</v>
      </c>
      <c r="C131" s="6" t="s">
        <v>468</v>
      </c>
      <c r="D131" s="8">
        <v>7441.0</v>
      </c>
      <c r="E131" s="8">
        <v>35265.0</v>
      </c>
      <c r="F131" s="9"/>
      <c r="G131" s="9"/>
      <c r="H131" s="10"/>
      <c r="I131" s="10"/>
      <c r="J131" s="10"/>
      <c r="K131" s="11"/>
      <c r="L131" s="11"/>
      <c r="M131" s="11"/>
      <c r="N131" s="11"/>
      <c r="O131" s="11"/>
      <c r="P131" s="11"/>
      <c r="Q131" s="12"/>
      <c r="R131" s="12"/>
      <c r="S131" s="12"/>
      <c r="T131" s="12"/>
      <c r="U131" s="12"/>
      <c r="V131" s="12"/>
      <c r="W131" s="12"/>
      <c r="X131" s="12"/>
      <c r="Y131" s="12"/>
      <c r="Z131" s="23">
        <v>1952.0</v>
      </c>
      <c r="AA131" s="14"/>
      <c r="AB131" s="13">
        <v>1956.0</v>
      </c>
      <c r="AC131" s="14"/>
      <c r="AD131" s="15">
        <v>1956.0</v>
      </c>
      <c r="AE131" s="14"/>
      <c r="AF131" s="36">
        <v>1956.0</v>
      </c>
      <c r="AG131" s="14"/>
      <c r="AH131" s="14">
        <v>1952.0</v>
      </c>
      <c r="AI131" s="14">
        <v>1970.0</v>
      </c>
    </row>
    <row r="132">
      <c r="A132" s="6" t="s">
        <v>469</v>
      </c>
      <c r="B132" s="35"/>
      <c r="C132" s="6" t="s">
        <v>470</v>
      </c>
      <c r="D132" s="8">
        <v>7518.0</v>
      </c>
      <c r="E132" s="8"/>
      <c r="F132" s="9"/>
      <c r="G132" s="9"/>
      <c r="H132" s="10"/>
      <c r="I132" s="10"/>
      <c r="J132" s="10"/>
      <c r="K132" s="11"/>
      <c r="L132" s="11"/>
      <c r="M132" s="11"/>
      <c r="N132" s="11"/>
      <c r="O132" s="11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4"/>
      <c r="AA132" s="14"/>
      <c r="AB132" s="14"/>
      <c r="AC132" s="14"/>
      <c r="AD132" s="14"/>
      <c r="AE132" s="14"/>
      <c r="AF132" s="36">
        <v>1967.0</v>
      </c>
      <c r="AG132" s="14"/>
      <c r="AH132" s="14">
        <v>1967.0</v>
      </c>
      <c r="AI132" s="14">
        <v>1970.0</v>
      </c>
    </row>
    <row r="133">
      <c r="A133" s="6" t="s">
        <v>471</v>
      </c>
      <c r="B133" s="7" t="s">
        <v>472</v>
      </c>
      <c r="C133" s="6" t="s">
        <v>473</v>
      </c>
      <c r="D133" s="8">
        <v>7542.0</v>
      </c>
      <c r="E133" s="8">
        <v>40815.0</v>
      </c>
      <c r="F133" s="9"/>
      <c r="G133" s="9"/>
      <c r="H133" s="10"/>
      <c r="I133" s="10"/>
      <c r="J133" s="10"/>
      <c r="K133" s="11"/>
      <c r="L133" s="11"/>
      <c r="M133" s="11"/>
      <c r="N133" s="11"/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3">
        <v>1962.0</v>
      </c>
      <c r="AC133" s="14"/>
      <c r="AD133" s="15">
        <v>1962.0</v>
      </c>
      <c r="AE133" s="14"/>
      <c r="AF133" s="36">
        <v>1962.0</v>
      </c>
      <c r="AG133" s="14"/>
      <c r="AH133" s="14">
        <v>1962.0</v>
      </c>
      <c r="AI133" s="14">
        <v>1970.0</v>
      </c>
    </row>
    <row r="134">
      <c r="A134" s="6" t="s">
        <v>474</v>
      </c>
      <c r="B134" s="35"/>
      <c r="C134" s="6" t="s">
        <v>475</v>
      </c>
      <c r="D134" s="8">
        <v>7756.0</v>
      </c>
      <c r="E134" s="8"/>
      <c r="F134" s="9"/>
      <c r="G134" s="9"/>
      <c r="H134" s="10"/>
      <c r="I134" s="10"/>
      <c r="J134" s="10"/>
      <c r="K134" s="11"/>
      <c r="L134" s="11"/>
      <c r="M134" s="11"/>
      <c r="N134" s="11"/>
      <c r="O134" s="11"/>
      <c r="P134" s="11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3">
        <v>1962.0</v>
      </c>
      <c r="AC134" s="14"/>
      <c r="AD134" s="15">
        <v>1962.0</v>
      </c>
      <c r="AE134" s="14"/>
      <c r="AF134" s="36">
        <v>1962.0</v>
      </c>
      <c r="AG134" s="14"/>
      <c r="AH134" s="14">
        <v>1962.0</v>
      </c>
      <c r="AI134" s="14">
        <v>1970.0</v>
      </c>
    </row>
    <row r="135">
      <c r="A135" s="6" t="s">
        <v>476</v>
      </c>
      <c r="B135" s="35"/>
      <c r="C135" s="6" t="s">
        <v>477</v>
      </c>
      <c r="D135" s="8">
        <v>8697.0</v>
      </c>
      <c r="E135" s="8">
        <v>42101.0</v>
      </c>
      <c r="F135" s="9"/>
      <c r="G135" s="9"/>
      <c r="H135" s="10"/>
      <c r="I135" s="10"/>
      <c r="J135" s="10"/>
      <c r="K135" s="11"/>
      <c r="L135" s="11"/>
      <c r="M135" s="11"/>
      <c r="N135" s="11"/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36">
        <v>1964.0</v>
      </c>
      <c r="AG135" s="12"/>
      <c r="AH135" s="14">
        <v>1964.0</v>
      </c>
      <c r="AI135" s="14">
        <v>1970.0</v>
      </c>
    </row>
    <row r="136">
      <c r="A136" s="6" t="s">
        <v>478</v>
      </c>
      <c r="B136" s="35"/>
      <c r="C136" s="6" t="s">
        <v>479</v>
      </c>
      <c r="D136" s="8">
        <v>8744.0</v>
      </c>
      <c r="E136" s="8"/>
      <c r="F136" s="9"/>
      <c r="G136" s="9"/>
      <c r="H136" s="10"/>
      <c r="I136" s="10"/>
      <c r="J136" s="10"/>
      <c r="K136" s="11"/>
      <c r="L136" s="11"/>
      <c r="M136" s="11"/>
      <c r="N136" s="11"/>
      <c r="O136" s="11"/>
      <c r="P136" s="11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4"/>
      <c r="AC136" s="14"/>
      <c r="AD136" s="14"/>
      <c r="AE136" s="14"/>
      <c r="AF136" s="36">
        <v>1966.0</v>
      </c>
      <c r="AG136" s="14"/>
      <c r="AH136" s="14">
        <v>1966.0</v>
      </c>
      <c r="AI136" s="14">
        <v>1970.0</v>
      </c>
    </row>
    <row r="137">
      <c r="A137" s="6" t="s">
        <v>480</v>
      </c>
      <c r="B137" s="7" t="s">
        <v>481</v>
      </c>
      <c r="C137" s="6" t="s">
        <v>482</v>
      </c>
      <c r="D137" s="8">
        <v>9339.0</v>
      </c>
      <c r="E137" s="8">
        <v>36644.0</v>
      </c>
      <c r="F137" s="9"/>
      <c r="G137" s="9"/>
      <c r="H137" s="10"/>
      <c r="I137" s="10"/>
      <c r="J137" s="10"/>
      <c r="K137" s="11"/>
      <c r="L137" s="11"/>
      <c r="M137" s="11"/>
      <c r="N137" s="11"/>
      <c r="O137" s="11"/>
      <c r="P137" s="11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36">
        <v>1967.0</v>
      </c>
      <c r="AG137" s="12"/>
      <c r="AH137" s="14">
        <v>1967.0</v>
      </c>
      <c r="AI137" s="14">
        <v>1970.0</v>
      </c>
    </row>
    <row r="138">
      <c r="A138" s="6" t="s">
        <v>483</v>
      </c>
      <c r="B138" s="7" t="s">
        <v>484</v>
      </c>
      <c r="C138" s="6" t="s">
        <v>485</v>
      </c>
      <c r="D138" s="8">
        <v>9341.0</v>
      </c>
      <c r="E138" s="8">
        <v>42714.0</v>
      </c>
      <c r="F138" s="40"/>
      <c r="G138" s="40"/>
      <c r="H138" s="10"/>
      <c r="I138" s="10"/>
      <c r="J138" s="10"/>
      <c r="K138" s="11"/>
      <c r="L138" s="11"/>
      <c r="M138" s="11"/>
      <c r="N138" s="11"/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3">
        <v>1957.0</v>
      </c>
      <c r="AC138" s="14"/>
      <c r="AD138" s="14"/>
      <c r="AE138" s="14"/>
      <c r="AF138" s="36">
        <v>1957.0</v>
      </c>
      <c r="AG138" s="14"/>
      <c r="AH138" s="14">
        <v>1957.0</v>
      </c>
      <c r="AI138" s="14">
        <v>1970.0</v>
      </c>
    </row>
    <row r="139">
      <c r="A139" s="6" t="s">
        <v>486</v>
      </c>
      <c r="B139" s="7" t="s">
        <v>487</v>
      </c>
      <c r="C139" s="6" t="s">
        <v>488</v>
      </c>
      <c r="D139" s="8">
        <v>9376.0</v>
      </c>
      <c r="E139" s="8">
        <v>43269.0</v>
      </c>
      <c r="F139" s="9"/>
      <c r="G139" s="9"/>
      <c r="H139" s="10"/>
      <c r="I139" s="10"/>
      <c r="J139" s="10"/>
      <c r="K139" s="11"/>
      <c r="L139" s="11"/>
      <c r="M139" s="11"/>
      <c r="N139" s="11"/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5">
        <v>1963.0</v>
      </c>
      <c r="AE139" s="12"/>
      <c r="AF139" s="36">
        <v>1963.0</v>
      </c>
      <c r="AG139" s="12"/>
      <c r="AH139" s="14">
        <v>1963.0</v>
      </c>
      <c r="AI139" s="14">
        <v>1970.0</v>
      </c>
    </row>
    <row r="140">
      <c r="A140" s="6" t="s">
        <v>489</v>
      </c>
      <c r="B140" s="7" t="s">
        <v>490</v>
      </c>
      <c r="C140" s="6" t="s">
        <v>491</v>
      </c>
      <c r="D140" s="8">
        <v>9628.0</v>
      </c>
      <c r="E140" s="8">
        <v>36477.0</v>
      </c>
      <c r="F140" s="9"/>
      <c r="G140" s="9"/>
      <c r="H140" s="10"/>
      <c r="I140" s="10"/>
      <c r="J140" s="10"/>
      <c r="K140" s="11"/>
      <c r="L140" s="11"/>
      <c r="M140" s="11"/>
      <c r="N140" s="11"/>
      <c r="O140" s="11"/>
      <c r="P140" s="11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36">
        <v>1969.0</v>
      </c>
      <c r="AG140" s="12"/>
      <c r="AH140" s="14">
        <v>1969.0</v>
      </c>
      <c r="AI140" s="14">
        <v>1970.0</v>
      </c>
    </row>
    <row r="141">
      <c r="A141" s="6" t="s">
        <v>492</v>
      </c>
      <c r="B141" s="7" t="s">
        <v>493</v>
      </c>
      <c r="C141" s="6" t="s">
        <v>494</v>
      </c>
      <c r="D141" s="8">
        <v>12039.0</v>
      </c>
      <c r="E141" s="8">
        <v>37415.0</v>
      </c>
      <c r="F141" s="9"/>
      <c r="G141" s="9"/>
      <c r="H141" s="10"/>
      <c r="I141" s="10"/>
      <c r="J141" s="10"/>
      <c r="K141" s="11"/>
      <c r="L141" s="11"/>
      <c r="M141" s="11"/>
      <c r="N141" s="11"/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23">
        <v>1952.0</v>
      </c>
      <c r="AA141" s="14"/>
      <c r="AB141" s="13">
        <v>1952.0</v>
      </c>
      <c r="AC141" s="14"/>
      <c r="AD141" s="15">
        <v>1952.0</v>
      </c>
      <c r="AE141" s="14"/>
      <c r="AF141" s="36">
        <v>1969.0</v>
      </c>
      <c r="AG141" s="14" t="s">
        <v>29</v>
      </c>
      <c r="AH141" s="14">
        <v>1952.0</v>
      </c>
      <c r="AI141" s="14">
        <v>1969.0</v>
      </c>
    </row>
    <row r="142">
      <c r="A142" s="1"/>
      <c r="B142" s="1"/>
      <c r="C142" s="1"/>
      <c r="D142" s="1"/>
      <c r="E142" s="1"/>
      <c r="F142" s="41" t="s">
        <v>495</v>
      </c>
      <c r="G142" s="42"/>
      <c r="H142" s="43" t="s">
        <v>496</v>
      </c>
      <c r="I142" s="44"/>
      <c r="J142" s="43" t="s">
        <v>497</v>
      </c>
      <c r="K142" s="45"/>
      <c r="L142" s="46" t="s">
        <v>498</v>
      </c>
      <c r="M142" s="45"/>
      <c r="N142" s="46" t="s">
        <v>499</v>
      </c>
      <c r="O142" s="45"/>
      <c r="P142" s="46" t="s">
        <v>500</v>
      </c>
      <c r="Q142" s="47"/>
      <c r="R142" s="48" t="s">
        <v>501</v>
      </c>
      <c r="S142" s="47"/>
      <c r="T142" s="48" t="s">
        <v>502</v>
      </c>
      <c r="U142" s="47"/>
      <c r="V142" s="48" t="s">
        <v>503</v>
      </c>
      <c r="W142" s="47"/>
      <c r="X142" s="48" t="s">
        <v>504</v>
      </c>
      <c r="Y142" s="47"/>
      <c r="Z142" s="48" t="s">
        <v>505</v>
      </c>
      <c r="AA142" s="47"/>
      <c r="AB142" s="48" t="s">
        <v>506</v>
      </c>
      <c r="AC142" s="47"/>
      <c r="AD142" s="48" t="s">
        <v>507</v>
      </c>
      <c r="AE142" s="47"/>
      <c r="AF142" s="48" t="s">
        <v>508</v>
      </c>
      <c r="AG142" s="5"/>
      <c r="AH142" s="5"/>
      <c r="AI142" s="5"/>
    </row>
    <row r="143">
      <c r="A143" s="6"/>
      <c r="B143" s="35"/>
      <c r="C143" s="6"/>
      <c r="D143" s="8"/>
      <c r="E143" s="8"/>
      <c r="F143" s="16"/>
      <c r="G143" s="16"/>
      <c r="H143" s="18"/>
      <c r="I143" s="18"/>
      <c r="J143" s="10"/>
      <c r="K143" s="11"/>
      <c r="L143" s="11"/>
      <c r="M143" s="11"/>
      <c r="N143" s="11"/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4"/>
      <c r="AG143" s="14"/>
    </row>
    <row r="144">
      <c r="A144" s="6"/>
      <c r="B144" s="35"/>
      <c r="C144" s="6"/>
      <c r="D144" s="8"/>
      <c r="E144" s="8"/>
      <c r="F144" s="16"/>
      <c r="G144" s="16"/>
      <c r="H144" s="18"/>
      <c r="I144" s="9"/>
      <c r="J144" s="10"/>
      <c r="K144" s="11"/>
      <c r="L144" s="11"/>
      <c r="M144" s="11"/>
      <c r="N144" s="11"/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>
      <c r="A145" s="6"/>
      <c r="B145" s="35"/>
      <c r="C145" s="6"/>
      <c r="D145" s="8"/>
      <c r="E145" s="8"/>
      <c r="F145" s="16"/>
      <c r="G145" s="16"/>
      <c r="H145" s="18"/>
      <c r="I145" s="18"/>
      <c r="J145" s="10"/>
      <c r="K145" s="11"/>
      <c r="L145" s="11"/>
      <c r="M145" s="11"/>
      <c r="N145" s="11"/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>
      <c r="A146" s="6"/>
      <c r="B146" s="35"/>
      <c r="C146" s="6"/>
      <c r="D146" s="8"/>
      <c r="E146" s="8"/>
      <c r="F146" s="16"/>
      <c r="G146" s="16"/>
      <c r="H146" s="18"/>
      <c r="I146" s="9"/>
      <c r="J146" s="10"/>
      <c r="K146" s="11"/>
      <c r="L146" s="11"/>
      <c r="M146" s="11"/>
      <c r="N146" s="11"/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>
      <c r="A147" s="6"/>
      <c r="B147" s="35"/>
      <c r="C147" s="6"/>
      <c r="D147" s="8"/>
      <c r="E147" s="8"/>
      <c r="F147" s="16"/>
      <c r="G147" s="16"/>
      <c r="H147" s="18"/>
      <c r="I147" s="9"/>
      <c r="J147" s="10"/>
      <c r="K147" s="11"/>
      <c r="L147" s="11"/>
      <c r="M147" s="11"/>
      <c r="N147" s="11"/>
      <c r="O147" s="11"/>
      <c r="P147" s="11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>
      <c r="A148" s="6"/>
      <c r="B148" s="35"/>
      <c r="C148" s="6"/>
      <c r="D148" s="8"/>
      <c r="E148" s="8"/>
      <c r="F148" s="16"/>
      <c r="G148" s="16"/>
      <c r="H148" s="9"/>
      <c r="I148" s="9"/>
      <c r="J148" s="10"/>
      <c r="K148" s="11"/>
      <c r="L148" s="11"/>
      <c r="M148" s="11"/>
      <c r="N148" s="11"/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>
      <c r="A149" s="6"/>
      <c r="B149" s="35"/>
      <c r="C149" s="6"/>
      <c r="D149" s="8"/>
      <c r="E149" s="8"/>
      <c r="F149" s="16"/>
      <c r="G149" s="16"/>
      <c r="H149" s="9"/>
      <c r="I149" s="9"/>
      <c r="J149" s="10"/>
      <c r="K149" s="11"/>
      <c r="L149" s="11"/>
      <c r="M149" s="11"/>
      <c r="N149" s="11"/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>
      <c r="A150" s="6"/>
      <c r="B150" s="35"/>
      <c r="C150" s="6"/>
      <c r="D150" s="8"/>
      <c r="E150" s="8"/>
      <c r="F150" s="16"/>
      <c r="G150" s="16"/>
      <c r="H150" s="18"/>
      <c r="I150" s="9"/>
      <c r="J150" s="10"/>
      <c r="K150" s="11"/>
      <c r="L150" s="11"/>
      <c r="M150" s="11"/>
      <c r="N150" s="11"/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>
      <c r="A151" s="6"/>
      <c r="B151" s="35"/>
      <c r="C151" s="6"/>
      <c r="D151" s="8"/>
      <c r="E151" s="8"/>
      <c r="F151" s="16"/>
      <c r="G151" s="16"/>
      <c r="H151" s="9"/>
      <c r="I151" s="9"/>
      <c r="J151" s="10"/>
      <c r="K151" s="11"/>
      <c r="L151" s="11"/>
      <c r="M151" s="11"/>
      <c r="N151" s="11"/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>
      <c r="A152" s="6"/>
      <c r="B152" s="35"/>
      <c r="C152" s="6"/>
      <c r="D152" s="8"/>
      <c r="E152" s="8"/>
      <c r="F152" s="16"/>
      <c r="G152" s="16"/>
      <c r="H152" s="9"/>
      <c r="I152" s="9"/>
      <c r="J152" s="10"/>
      <c r="K152" s="11"/>
      <c r="L152" s="11"/>
      <c r="M152" s="11"/>
      <c r="N152" s="11"/>
      <c r="O152" s="11"/>
      <c r="P152" s="11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>
      <c r="A153" s="6"/>
      <c r="B153" s="35"/>
      <c r="C153" s="6"/>
      <c r="D153" s="8"/>
      <c r="E153" s="8"/>
      <c r="F153" s="16"/>
      <c r="G153" s="16"/>
      <c r="H153" s="9"/>
      <c r="I153" s="9"/>
      <c r="J153" s="10"/>
      <c r="K153" s="11"/>
      <c r="L153" s="11"/>
      <c r="M153" s="11"/>
      <c r="N153" s="11"/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>
      <c r="A154" s="6"/>
      <c r="B154" s="35"/>
      <c r="C154" s="6"/>
      <c r="D154" s="8"/>
      <c r="E154" s="8"/>
      <c r="F154" s="9"/>
      <c r="G154" s="9"/>
      <c r="H154" s="10"/>
      <c r="I154" s="10"/>
      <c r="J154" s="10"/>
      <c r="K154" s="11"/>
      <c r="L154" s="11"/>
      <c r="M154" s="11"/>
      <c r="N154" s="11"/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>
      <c r="A155" s="6"/>
      <c r="B155" s="35"/>
      <c r="C155" s="6"/>
      <c r="D155" s="8"/>
      <c r="E155" s="8"/>
      <c r="F155" s="9"/>
      <c r="G155" s="9"/>
      <c r="H155" s="10"/>
      <c r="I155" s="10"/>
      <c r="J155" s="10"/>
      <c r="K155" s="11"/>
      <c r="L155" s="11"/>
      <c r="M155" s="11"/>
      <c r="N155" s="11"/>
      <c r="O155" s="11"/>
      <c r="P155" s="11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>
      <c r="A156" s="6"/>
      <c r="B156" s="35"/>
      <c r="C156" s="6"/>
      <c r="D156" s="8"/>
      <c r="E156" s="8"/>
      <c r="F156" s="34"/>
      <c r="G156" s="34"/>
      <c r="H156" s="10"/>
      <c r="I156" s="10"/>
      <c r="J156" s="10"/>
      <c r="K156" s="11"/>
      <c r="L156" s="11"/>
      <c r="M156" s="11"/>
      <c r="N156" s="11"/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>
      <c r="A157" s="6"/>
      <c r="B157" s="35"/>
      <c r="C157" s="6"/>
      <c r="D157" s="8"/>
      <c r="E157" s="8"/>
      <c r="F157" s="34"/>
      <c r="G157" s="34"/>
      <c r="H157" s="10"/>
      <c r="I157" s="10"/>
      <c r="J157" s="10"/>
      <c r="K157" s="11"/>
      <c r="L157" s="11"/>
      <c r="M157" s="11"/>
      <c r="N157" s="11"/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>
      <c r="A158" s="6"/>
      <c r="B158" s="49"/>
      <c r="C158" s="6"/>
      <c r="D158" s="8"/>
      <c r="E158" s="8"/>
      <c r="F158" s="34"/>
      <c r="G158" s="34"/>
      <c r="H158" s="10"/>
      <c r="I158" s="10"/>
      <c r="J158" s="10"/>
      <c r="K158" s="11"/>
      <c r="L158" s="11"/>
      <c r="M158" s="11"/>
      <c r="N158" s="11"/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6"/>
      <c r="B159" s="35"/>
      <c r="C159" s="6"/>
      <c r="D159" s="8"/>
      <c r="E159" s="8"/>
      <c r="F159" s="34"/>
      <c r="G159" s="34"/>
      <c r="H159" s="10"/>
      <c r="I159" s="10"/>
      <c r="J159" s="10"/>
      <c r="K159" s="11"/>
      <c r="L159" s="11"/>
      <c r="M159" s="11"/>
      <c r="N159" s="11"/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>
      <c r="A160" s="6"/>
      <c r="B160" s="35"/>
      <c r="C160" s="6"/>
      <c r="D160" s="8"/>
      <c r="E160" s="8"/>
      <c r="F160" s="34"/>
      <c r="G160" s="34"/>
      <c r="H160" s="10"/>
      <c r="I160" s="10"/>
      <c r="J160" s="10"/>
      <c r="K160" s="11"/>
      <c r="L160" s="11"/>
      <c r="M160" s="11"/>
      <c r="N160" s="11"/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>
      <c r="A161" s="6"/>
      <c r="B161" s="35"/>
      <c r="C161" s="6"/>
      <c r="D161" s="8"/>
      <c r="E161" s="8"/>
      <c r="F161" s="9"/>
      <c r="G161" s="9"/>
      <c r="H161" s="10"/>
      <c r="I161" s="10"/>
      <c r="J161" s="10"/>
      <c r="K161" s="11"/>
      <c r="L161" s="11"/>
      <c r="M161" s="11"/>
      <c r="N161" s="11"/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>
      <c r="A162" s="6"/>
      <c r="B162" s="35"/>
      <c r="C162" s="6"/>
      <c r="D162" s="8"/>
      <c r="E162" s="8"/>
      <c r="F162" s="9"/>
      <c r="G162" s="9"/>
      <c r="H162" s="10"/>
      <c r="I162" s="10"/>
      <c r="J162" s="10"/>
      <c r="K162" s="11"/>
      <c r="L162" s="11"/>
      <c r="M162" s="11"/>
      <c r="N162" s="11"/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>
      <c r="A163" s="6"/>
      <c r="B163" s="35"/>
      <c r="C163" s="6"/>
      <c r="D163" s="8"/>
      <c r="E163" s="8"/>
      <c r="F163" s="9"/>
      <c r="G163" s="9"/>
      <c r="H163" s="10"/>
      <c r="I163" s="10"/>
      <c r="J163" s="10"/>
      <c r="K163" s="11"/>
      <c r="L163" s="11"/>
      <c r="M163" s="11"/>
      <c r="N163" s="11"/>
      <c r="O163" s="11"/>
      <c r="P163" s="11"/>
      <c r="Q163" s="12"/>
      <c r="R163" s="12"/>
      <c r="S163" s="12"/>
      <c r="T163" s="50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>
      <c r="A164" s="6"/>
      <c r="B164" s="35"/>
      <c r="C164" s="6"/>
      <c r="D164" s="8"/>
      <c r="E164" s="8"/>
      <c r="F164" s="9"/>
      <c r="G164" s="9"/>
      <c r="H164" s="10"/>
      <c r="I164" s="10"/>
      <c r="J164" s="10"/>
      <c r="K164" s="11"/>
      <c r="L164" s="11"/>
      <c r="M164" s="11"/>
      <c r="N164" s="11"/>
      <c r="O164" s="11"/>
      <c r="P164" s="11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>
      <c r="A165" s="6"/>
      <c r="B165" s="35"/>
      <c r="C165" s="6"/>
      <c r="D165" s="8"/>
      <c r="E165" s="8"/>
      <c r="F165" s="34"/>
      <c r="G165" s="34"/>
      <c r="H165" s="10"/>
      <c r="I165" s="10"/>
      <c r="J165" s="10"/>
      <c r="K165" s="11"/>
      <c r="L165" s="11"/>
      <c r="M165" s="11"/>
      <c r="N165" s="11"/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>
      <c r="A166" s="6"/>
      <c r="B166" s="35"/>
      <c r="C166" s="6"/>
      <c r="D166" s="8"/>
      <c r="E166" s="8"/>
      <c r="F166" s="9"/>
      <c r="G166" s="9"/>
      <c r="H166" s="10"/>
      <c r="I166" s="10"/>
      <c r="J166" s="10"/>
      <c r="K166" s="11"/>
      <c r="L166" s="11"/>
      <c r="M166" s="11"/>
      <c r="N166" s="11"/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>
      <c r="A167" s="6"/>
      <c r="B167" s="35"/>
      <c r="C167" s="6"/>
      <c r="D167" s="8"/>
      <c r="E167" s="8"/>
      <c r="F167" s="9"/>
      <c r="G167" s="9"/>
      <c r="H167" s="10"/>
      <c r="I167" s="10"/>
      <c r="J167" s="10"/>
      <c r="K167" s="11"/>
      <c r="L167" s="11"/>
      <c r="M167" s="11"/>
      <c r="N167" s="11"/>
      <c r="O167" s="11"/>
      <c r="P167" s="11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>
      <c r="A168" s="6"/>
      <c r="B168" s="35"/>
      <c r="C168" s="6"/>
      <c r="D168" s="8"/>
      <c r="E168" s="8"/>
      <c r="F168" s="9"/>
      <c r="G168" s="9"/>
      <c r="H168" s="10"/>
      <c r="I168" s="10"/>
      <c r="J168" s="10"/>
      <c r="K168" s="11"/>
      <c r="L168" s="11"/>
      <c r="M168" s="11"/>
      <c r="N168" s="11"/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>
      <c r="A169" s="6"/>
      <c r="B169" s="35"/>
      <c r="C169" s="6"/>
      <c r="D169" s="8"/>
      <c r="E169" s="8"/>
      <c r="F169" s="9"/>
      <c r="G169" s="9"/>
      <c r="H169" s="10"/>
      <c r="I169" s="10"/>
      <c r="J169" s="10"/>
      <c r="K169" s="11"/>
      <c r="L169" s="11"/>
      <c r="M169" s="11"/>
      <c r="N169" s="11"/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>
      <c r="A170" s="6"/>
      <c r="B170" s="35"/>
      <c r="C170" s="6"/>
      <c r="D170" s="8"/>
      <c r="E170" s="8"/>
      <c r="F170" s="9"/>
      <c r="G170" s="9"/>
      <c r="H170" s="10"/>
      <c r="I170" s="10"/>
      <c r="J170" s="10"/>
      <c r="K170" s="11"/>
      <c r="L170" s="11"/>
      <c r="M170" s="11"/>
      <c r="N170" s="11"/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>
      <c r="A171" s="6"/>
      <c r="B171" s="35"/>
      <c r="C171" s="6"/>
      <c r="D171" s="8"/>
      <c r="E171" s="8"/>
      <c r="F171" s="9"/>
      <c r="G171" s="9"/>
      <c r="H171" s="10"/>
      <c r="I171" s="10"/>
      <c r="J171" s="10"/>
      <c r="K171" s="11"/>
      <c r="L171" s="11"/>
      <c r="M171" s="11"/>
      <c r="N171" s="11"/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>
      <c r="A172" s="6"/>
      <c r="B172" s="35"/>
      <c r="C172" s="6"/>
      <c r="D172" s="8"/>
      <c r="E172" s="8"/>
      <c r="F172" s="9"/>
      <c r="G172" s="9"/>
      <c r="H172" s="10"/>
      <c r="I172" s="10"/>
      <c r="J172" s="10"/>
      <c r="K172" s="11"/>
      <c r="L172" s="11"/>
      <c r="M172" s="11"/>
      <c r="N172" s="11"/>
      <c r="O172" s="11"/>
      <c r="P172" s="11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>
      <c r="A173" s="6"/>
      <c r="B173" s="35"/>
      <c r="C173" s="6"/>
      <c r="D173" s="8"/>
      <c r="E173" s="8"/>
      <c r="F173" s="9"/>
      <c r="G173" s="9"/>
      <c r="H173" s="10"/>
      <c r="I173" s="10"/>
      <c r="J173" s="10"/>
      <c r="K173" s="11"/>
      <c r="L173" s="11"/>
      <c r="M173" s="11"/>
      <c r="N173" s="11"/>
      <c r="O173" s="11"/>
      <c r="P173" s="11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>
      <c r="A174" s="6"/>
      <c r="B174" s="35"/>
      <c r="C174" s="6"/>
      <c r="D174" s="8"/>
      <c r="E174" s="8"/>
      <c r="F174" s="9"/>
      <c r="G174" s="9"/>
      <c r="H174" s="10"/>
      <c r="I174" s="10"/>
      <c r="J174" s="10"/>
      <c r="K174" s="11"/>
      <c r="L174" s="11"/>
      <c r="M174" s="11"/>
      <c r="N174" s="11"/>
      <c r="O174" s="11"/>
      <c r="P174" s="1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>
      <c r="A175" s="6"/>
      <c r="B175" s="35"/>
      <c r="C175" s="6"/>
      <c r="D175" s="8"/>
      <c r="E175" s="8"/>
      <c r="F175" s="9"/>
      <c r="G175" s="9"/>
      <c r="H175" s="10"/>
      <c r="I175" s="10"/>
      <c r="J175" s="10"/>
      <c r="K175" s="11"/>
      <c r="L175" s="11"/>
      <c r="M175" s="11"/>
      <c r="N175" s="11"/>
      <c r="O175" s="11"/>
      <c r="P175" s="11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>
      <c r="A176" s="6"/>
      <c r="B176" s="35"/>
      <c r="C176" s="6"/>
      <c r="D176" s="8"/>
      <c r="E176" s="8"/>
      <c r="F176" s="9"/>
      <c r="G176" s="9"/>
      <c r="H176" s="10"/>
      <c r="I176" s="10"/>
      <c r="J176" s="10"/>
      <c r="K176" s="11"/>
      <c r="L176" s="11"/>
      <c r="M176" s="11"/>
      <c r="N176" s="11"/>
      <c r="O176" s="11"/>
      <c r="P176" s="11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>
      <c r="A177" s="6"/>
      <c r="B177" s="35"/>
      <c r="C177" s="6"/>
      <c r="D177" s="8"/>
      <c r="E177" s="8"/>
      <c r="F177" s="9"/>
      <c r="G177" s="9"/>
      <c r="H177" s="10"/>
      <c r="I177" s="10"/>
      <c r="J177" s="10"/>
      <c r="K177" s="11"/>
      <c r="L177" s="11"/>
      <c r="M177" s="11"/>
      <c r="N177" s="11"/>
      <c r="O177" s="11"/>
      <c r="P177" s="11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>
      <c r="A178" s="6"/>
      <c r="B178" s="35"/>
      <c r="C178" s="6"/>
      <c r="D178" s="8"/>
      <c r="E178" s="8"/>
      <c r="F178" s="9"/>
      <c r="G178" s="9"/>
      <c r="H178" s="10"/>
      <c r="I178" s="10"/>
      <c r="J178" s="10"/>
      <c r="K178" s="11"/>
      <c r="L178" s="11"/>
      <c r="M178" s="11"/>
      <c r="N178" s="11"/>
      <c r="O178" s="11"/>
      <c r="P178" s="11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>
      <c r="A179" s="6"/>
      <c r="B179" s="35"/>
      <c r="C179" s="6"/>
      <c r="D179" s="8"/>
      <c r="E179" s="8"/>
      <c r="F179" s="9"/>
      <c r="G179" s="9"/>
      <c r="H179" s="10"/>
      <c r="I179" s="10"/>
      <c r="J179" s="10"/>
      <c r="K179" s="11"/>
      <c r="L179" s="11"/>
      <c r="M179" s="11"/>
      <c r="N179" s="11"/>
      <c r="O179" s="11"/>
      <c r="P179" s="11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>
      <c r="A180" s="6"/>
      <c r="B180" s="35"/>
      <c r="C180" s="6"/>
      <c r="D180" s="8"/>
      <c r="E180" s="8"/>
      <c r="F180" s="9"/>
      <c r="G180" s="9"/>
      <c r="H180" s="10"/>
      <c r="I180" s="10"/>
      <c r="J180" s="10"/>
      <c r="K180" s="11"/>
      <c r="L180" s="11"/>
      <c r="M180" s="11"/>
      <c r="N180" s="11"/>
      <c r="O180" s="11"/>
      <c r="P180" s="11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>
      <c r="A181" s="6"/>
      <c r="B181" s="35"/>
      <c r="C181" s="6"/>
      <c r="D181" s="8"/>
      <c r="E181" s="8"/>
      <c r="F181" s="9"/>
      <c r="G181" s="9"/>
      <c r="H181" s="10"/>
      <c r="I181" s="10"/>
      <c r="J181" s="10"/>
      <c r="K181" s="11"/>
      <c r="L181" s="11"/>
      <c r="M181" s="11"/>
      <c r="N181" s="11"/>
      <c r="O181" s="11"/>
      <c r="P181" s="11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>
      <c r="A182" s="6"/>
      <c r="B182" s="35"/>
      <c r="C182" s="6"/>
      <c r="D182" s="8"/>
      <c r="E182" s="8"/>
      <c r="F182" s="9"/>
      <c r="G182" s="9"/>
      <c r="H182" s="10"/>
      <c r="I182" s="10"/>
      <c r="J182" s="10"/>
      <c r="K182" s="11"/>
      <c r="L182" s="11"/>
      <c r="M182" s="11"/>
      <c r="N182" s="11"/>
      <c r="O182" s="11"/>
      <c r="P182" s="11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>
      <c r="A183" s="6"/>
      <c r="B183" s="35"/>
      <c r="C183" s="6"/>
      <c r="D183" s="8"/>
      <c r="E183" s="8"/>
      <c r="F183" s="9"/>
      <c r="G183" s="9"/>
      <c r="H183" s="10"/>
      <c r="I183" s="10"/>
      <c r="J183" s="10"/>
      <c r="K183" s="11"/>
      <c r="L183" s="11"/>
      <c r="M183" s="11"/>
      <c r="N183" s="11"/>
      <c r="O183" s="11"/>
      <c r="P183" s="11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>
      <c r="A184" s="6"/>
      <c r="B184" s="35"/>
      <c r="C184" s="6"/>
      <c r="D184" s="8"/>
      <c r="E184" s="8"/>
      <c r="F184" s="9"/>
      <c r="G184" s="9"/>
      <c r="H184" s="10"/>
      <c r="I184" s="10"/>
      <c r="J184" s="10"/>
      <c r="K184" s="11"/>
      <c r="L184" s="11"/>
      <c r="M184" s="11"/>
      <c r="N184" s="11"/>
      <c r="O184" s="11"/>
      <c r="P184" s="11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>
      <c r="A185" s="6"/>
      <c r="B185" s="35"/>
      <c r="C185" s="6"/>
      <c r="D185" s="8"/>
      <c r="E185" s="8"/>
      <c r="F185" s="9"/>
      <c r="G185" s="9"/>
      <c r="H185" s="10"/>
      <c r="I185" s="10"/>
      <c r="J185" s="10"/>
      <c r="K185" s="11"/>
      <c r="L185" s="11"/>
      <c r="M185" s="11"/>
      <c r="N185" s="11"/>
      <c r="O185" s="11"/>
      <c r="P185" s="11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>
      <c r="A186" s="6"/>
      <c r="B186" s="35"/>
      <c r="C186" s="6"/>
      <c r="D186" s="8"/>
      <c r="E186" s="8"/>
      <c r="F186" s="9"/>
      <c r="G186" s="9"/>
      <c r="H186" s="10"/>
      <c r="I186" s="10"/>
      <c r="J186" s="10"/>
      <c r="K186" s="11"/>
      <c r="L186" s="11"/>
      <c r="M186" s="11"/>
      <c r="N186" s="11"/>
      <c r="O186" s="11"/>
      <c r="P186" s="11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>
      <c r="A187" s="6"/>
      <c r="B187" s="35"/>
      <c r="C187" s="6"/>
      <c r="D187" s="8"/>
      <c r="E187" s="8"/>
      <c r="F187" s="9"/>
      <c r="G187" s="9"/>
      <c r="H187" s="10"/>
      <c r="I187" s="10"/>
      <c r="J187" s="10"/>
      <c r="K187" s="11"/>
      <c r="L187" s="11"/>
      <c r="M187" s="11"/>
      <c r="N187" s="11"/>
      <c r="O187" s="11"/>
      <c r="P187" s="11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>
      <c r="A188" s="6"/>
      <c r="B188" s="35"/>
      <c r="C188" s="6"/>
      <c r="D188" s="8"/>
      <c r="E188" s="8"/>
      <c r="F188" s="9"/>
      <c r="G188" s="9"/>
      <c r="H188" s="10"/>
      <c r="I188" s="10"/>
      <c r="J188" s="10"/>
      <c r="K188" s="11"/>
      <c r="L188" s="11"/>
      <c r="M188" s="11"/>
      <c r="N188" s="11"/>
      <c r="O188" s="11"/>
      <c r="P188" s="11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>
      <c r="A189" s="6"/>
      <c r="B189" s="35"/>
      <c r="C189" s="6"/>
      <c r="D189" s="8"/>
      <c r="E189" s="8"/>
      <c r="F189" s="9"/>
      <c r="G189" s="9"/>
      <c r="H189" s="10"/>
      <c r="I189" s="10"/>
      <c r="J189" s="10"/>
      <c r="K189" s="11"/>
      <c r="L189" s="11"/>
      <c r="M189" s="11"/>
      <c r="N189" s="11"/>
      <c r="O189" s="11"/>
      <c r="P189" s="11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>
      <c r="A190" s="6"/>
      <c r="B190" s="35"/>
      <c r="C190" s="6"/>
      <c r="D190" s="8"/>
      <c r="E190" s="8"/>
      <c r="F190" s="9"/>
      <c r="G190" s="9"/>
      <c r="H190" s="10"/>
      <c r="I190" s="10"/>
      <c r="J190" s="10"/>
      <c r="K190" s="11"/>
      <c r="L190" s="11"/>
      <c r="M190" s="11"/>
      <c r="N190" s="11"/>
      <c r="O190" s="11"/>
      <c r="P190" s="11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>
      <c r="A191" s="6"/>
      <c r="B191" s="35"/>
      <c r="C191" s="6"/>
      <c r="D191" s="8"/>
      <c r="E191" s="8"/>
      <c r="F191" s="9"/>
      <c r="G191" s="9"/>
      <c r="H191" s="10"/>
      <c r="I191" s="10"/>
      <c r="J191" s="10"/>
      <c r="K191" s="11"/>
      <c r="L191" s="11"/>
      <c r="M191" s="11"/>
      <c r="N191" s="11"/>
      <c r="O191" s="11"/>
      <c r="P191" s="11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>
      <c r="A192" s="6"/>
      <c r="B192" s="35"/>
      <c r="C192" s="6"/>
      <c r="D192" s="8"/>
      <c r="E192" s="8"/>
      <c r="F192" s="9"/>
      <c r="G192" s="9"/>
      <c r="H192" s="10"/>
      <c r="I192" s="10"/>
      <c r="J192" s="10"/>
      <c r="K192" s="11"/>
      <c r="L192" s="11"/>
      <c r="M192" s="11"/>
      <c r="N192" s="11"/>
      <c r="O192" s="11"/>
      <c r="P192" s="11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>
      <c r="A193" s="6"/>
      <c r="B193" s="35"/>
      <c r="C193" s="6"/>
      <c r="D193" s="8"/>
      <c r="E193" s="8"/>
      <c r="F193" s="9"/>
      <c r="G193" s="9"/>
      <c r="H193" s="10"/>
      <c r="I193" s="10"/>
      <c r="J193" s="10"/>
      <c r="K193" s="11"/>
      <c r="L193" s="11"/>
      <c r="M193" s="11"/>
      <c r="N193" s="11"/>
      <c r="O193" s="11"/>
      <c r="P193" s="11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>
      <c r="A194" s="6"/>
      <c r="B194" s="35"/>
      <c r="C194" s="6"/>
      <c r="D194" s="8"/>
      <c r="E194" s="8"/>
      <c r="F194" s="9"/>
      <c r="G194" s="9"/>
      <c r="H194" s="10"/>
      <c r="I194" s="10"/>
      <c r="J194" s="10"/>
      <c r="K194" s="11"/>
      <c r="L194" s="11"/>
      <c r="M194" s="11"/>
      <c r="N194" s="11"/>
      <c r="O194" s="11"/>
      <c r="P194" s="11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>
      <c r="A195" s="6"/>
      <c r="B195" s="35"/>
      <c r="C195" s="6"/>
      <c r="D195" s="8"/>
      <c r="E195" s="8"/>
      <c r="F195" s="9"/>
      <c r="G195" s="9"/>
      <c r="H195" s="10"/>
      <c r="I195" s="10"/>
      <c r="J195" s="10"/>
      <c r="K195" s="11"/>
      <c r="L195" s="11"/>
      <c r="M195" s="11"/>
      <c r="N195" s="11"/>
      <c r="O195" s="11"/>
      <c r="P195" s="11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>
      <c r="A196" s="6"/>
      <c r="B196" s="35"/>
      <c r="C196" s="6"/>
      <c r="D196" s="8"/>
      <c r="E196" s="8"/>
      <c r="F196" s="9"/>
      <c r="G196" s="9"/>
      <c r="H196" s="10"/>
      <c r="I196" s="10"/>
      <c r="J196" s="10"/>
      <c r="K196" s="11"/>
      <c r="L196" s="11"/>
      <c r="M196" s="11"/>
      <c r="N196" s="11"/>
      <c r="O196" s="11"/>
      <c r="P196" s="11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>
      <c r="A197" s="6"/>
      <c r="B197" s="35"/>
      <c r="C197" s="6"/>
      <c r="D197" s="8"/>
      <c r="E197" s="8"/>
      <c r="F197" s="9"/>
      <c r="G197" s="9"/>
      <c r="H197" s="10"/>
      <c r="I197" s="10"/>
      <c r="J197" s="10"/>
      <c r="K197" s="11"/>
      <c r="L197" s="11"/>
      <c r="M197" s="11"/>
      <c r="N197" s="11"/>
      <c r="O197" s="11"/>
      <c r="P197" s="11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>
      <c r="A198" s="6"/>
      <c r="B198" s="35"/>
      <c r="C198" s="6"/>
      <c r="D198" s="8"/>
      <c r="E198" s="8"/>
      <c r="F198" s="9"/>
      <c r="G198" s="9"/>
      <c r="H198" s="10"/>
      <c r="I198" s="10"/>
      <c r="J198" s="10"/>
      <c r="K198" s="11"/>
      <c r="L198" s="11"/>
      <c r="M198" s="11"/>
      <c r="N198" s="11"/>
      <c r="O198" s="11"/>
      <c r="P198" s="11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>
      <c r="A199" s="6"/>
      <c r="B199" s="35"/>
      <c r="C199" s="6"/>
      <c r="D199" s="8"/>
      <c r="E199" s="8"/>
      <c r="F199" s="9"/>
      <c r="G199" s="9"/>
      <c r="H199" s="10"/>
      <c r="I199" s="10"/>
      <c r="J199" s="10"/>
      <c r="K199" s="11"/>
      <c r="L199" s="11"/>
      <c r="M199" s="11"/>
      <c r="N199" s="11"/>
      <c r="O199" s="11"/>
      <c r="P199" s="11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>
      <c r="A200" s="6"/>
      <c r="B200" s="35"/>
      <c r="C200" s="6"/>
      <c r="D200" s="8"/>
      <c r="E200" s="8"/>
      <c r="F200" s="9"/>
      <c r="G200" s="9"/>
      <c r="H200" s="10"/>
      <c r="I200" s="10"/>
      <c r="J200" s="10"/>
      <c r="K200" s="11"/>
      <c r="L200" s="11"/>
      <c r="M200" s="11"/>
      <c r="N200" s="11"/>
      <c r="O200" s="11"/>
      <c r="P200" s="11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>
      <c r="A201" s="6"/>
      <c r="B201" s="35"/>
      <c r="C201" s="6"/>
      <c r="D201" s="8"/>
      <c r="E201" s="8"/>
      <c r="F201" s="9"/>
      <c r="G201" s="9"/>
      <c r="H201" s="10"/>
      <c r="I201" s="10"/>
      <c r="J201" s="10"/>
      <c r="K201" s="11"/>
      <c r="L201" s="11"/>
      <c r="M201" s="11"/>
      <c r="N201" s="11"/>
      <c r="O201" s="11"/>
      <c r="P201" s="11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>
      <c r="A202" s="6"/>
      <c r="B202" s="35"/>
      <c r="C202" s="6"/>
      <c r="D202" s="8"/>
      <c r="E202" s="8"/>
      <c r="F202" s="9"/>
      <c r="G202" s="9"/>
      <c r="H202" s="10"/>
      <c r="I202" s="10"/>
      <c r="J202" s="10"/>
      <c r="K202" s="11"/>
      <c r="L202" s="11"/>
      <c r="M202" s="11"/>
      <c r="N202" s="11"/>
      <c r="O202" s="11"/>
      <c r="P202" s="11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>
      <c r="A203" s="6"/>
      <c r="B203" s="35"/>
      <c r="C203" s="6"/>
      <c r="D203" s="8"/>
      <c r="E203" s="8"/>
      <c r="F203" s="9"/>
      <c r="G203" s="9"/>
      <c r="H203" s="10"/>
      <c r="I203" s="10"/>
      <c r="J203" s="10"/>
      <c r="K203" s="11"/>
      <c r="L203" s="11"/>
      <c r="M203" s="11"/>
      <c r="N203" s="11"/>
      <c r="O203" s="11"/>
      <c r="P203" s="11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>
      <c r="A204" s="6"/>
      <c r="B204" s="35"/>
      <c r="C204" s="6"/>
      <c r="D204" s="8"/>
      <c r="E204" s="8"/>
      <c r="F204" s="9"/>
      <c r="G204" s="9"/>
      <c r="H204" s="10"/>
      <c r="I204" s="10"/>
      <c r="J204" s="10"/>
      <c r="K204" s="11"/>
      <c r="L204" s="11"/>
      <c r="M204" s="11"/>
      <c r="N204" s="11"/>
      <c r="O204" s="11"/>
      <c r="P204" s="11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>
      <c r="A205" s="6"/>
      <c r="B205" s="35"/>
      <c r="C205" s="6"/>
      <c r="D205" s="8"/>
      <c r="E205" s="8"/>
      <c r="F205" s="9"/>
      <c r="G205" s="9"/>
      <c r="H205" s="10"/>
      <c r="I205" s="10"/>
      <c r="J205" s="10"/>
      <c r="K205" s="11"/>
      <c r="L205" s="11"/>
      <c r="M205" s="11"/>
      <c r="N205" s="11"/>
      <c r="O205" s="11"/>
      <c r="P205" s="11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>
      <c r="A206" s="6"/>
      <c r="B206" s="35"/>
      <c r="C206" s="6"/>
      <c r="D206" s="8"/>
      <c r="E206" s="8"/>
      <c r="F206" s="9"/>
      <c r="G206" s="9"/>
      <c r="H206" s="10"/>
      <c r="I206" s="10"/>
      <c r="J206" s="10"/>
      <c r="K206" s="11"/>
      <c r="L206" s="11"/>
      <c r="M206" s="11"/>
      <c r="N206" s="11"/>
      <c r="O206" s="11"/>
      <c r="P206" s="11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>
      <c r="A207" s="6"/>
      <c r="B207" s="35"/>
      <c r="C207" s="6"/>
      <c r="D207" s="8"/>
      <c r="E207" s="8"/>
      <c r="F207" s="9"/>
      <c r="G207" s="9"/>
      <c r="H207" s="10"/>
      <c r="I207" s="10"/>
      <c r="J207" s="10"/>
      <c r="K207" s="11"/>
      <c r="L207" s="11"/>
      <c r="M207" s="11"/>
      <c r="N207" s="11"/>
      <c r="O207" s="11"/>
      <c r="P207" s="11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>
      <c r="A208" s="6"/>
      <c r="B208" s="35"/>
      <c r="C208" s="6"/>
      <c r="D208" s="8"/>
      <c r="E208" s="8"/>
      <c r="F208" s="9"/>
      <c r="G208" s="9"/>
      <c r="H208" s="10"/>
      <c r="I208" s="10"/>
      <c r="J208" s="10"/>
      <c r="K208" s="11"/>
      <c r="L208" s="11"/>
      <c r="M208" s="11"/>
      <c r="N208" s="11"/>
      <c r="O208" s="11"/>
      <c r="P208" s="11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>
      <c r="A209" s="6"/>
      <c r="B209" s="35"/>
      <c r="C209" s="6"/>
      <c r="D209" s="8"/>
      <c r="E209" s="8"/>
      <c r="F209" s="9"/>
      <c r="G209" s="9"/>
      <c r="H209" s="10"/>
      <c r="I209" s="10"/>
      <c r="J209" s="10"/>
      <c r="K209" s="11"/>
      <c r="L209" s="11"/>
      <c r="M209" s="11"/>
      <c r="N209" s="11"/>
      <c r="O209" s="11"/>
      <c r="P209" s="11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>
      <c r="A210" s="6"/>
      <c r="B210" s="35"/>
      <c r="C210" s="6"/>
      <c r="D210" s="8"/>
      <c r="E210" s="8"/>
      <c r="F210" s="9"/>
      <c r="G210" s="9"/>
      <c r="H210" s="10"/>
      <c r="I210" s="10"/>
      <c r="J210" s="10"/>
      <c r="K210" s="11"/>
      <c r="L210" s="11"/>
      <c r="M210" s="11"/>
      <c r="N210" s="11"/>
      <c r="O210" s="11"/>
      <c r="P210" s="11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>
      <c r="A211" s="6"/>
      <c r="B211" s="35"/>
      <c r="C211" s="6"/>
      <c r="D211" s="8"/>
      <c r="E211" s="8"/>
      <c r="F211" s="9"/>
      <c r="G211" s="9"/>
      <c r="H211" s="10"/>
      <c r="I211" s="10"/>
      <c r="J211" s="10"/>
      <c r="K211" s="11"/>
      <c r="L211" s="11"/>
      <c r="M211" s="11"/>
      <c r="N211" s="11"/>
      <c r="O211" s="11"/>
      <c r="P211" s="11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>
      <c r="A212" s="6"/>
      <c r="B212" s="35"/>
      <c r="C212" s="6"/>
      <c r="D212" s="8"/>
      <c r="E212" s="8"/>
      <c r="F212" s="9"/>
      <c r="G212" s="9"/>
      <c r="H212" s="10"/>
      <c r="I212" s="10"/>
      <c r="J212" s="10"/>
      <c r="K212" s="11"/>
      <c r="L212" s="11"/>
      <c r="M212" s="11"/>
      <c r="N212" s="11"/>
      <c r="O212" s="11"/>
      <c r="P212" s="11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>
      <c r="A213" s="6"/>
      <c r="B213" s="35"/>
      <c r="C213" s="6"/>
      <c r="D213" s="8"/>
      <c r="E213" s="8"/>
      <c r="F213" s="9"/>
      <c r="G213" s="9"/>
      <c r="H213" s="10"/>
      <c r="I213" s="10"/>
      <c r="J213" s="10"/>
      <c r="K213" s="11"/>
      <c r="L213" s="11"/>
      <c r="M213" s="11"/>
      <c r="N213" s="11"/>
      <c r="O213" s="11"/>
      <c r="P213" s="11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>
      <c r="A214" s="6"/>
      <c r="B214" s="35"/>
      <c r="C214" s="6"/>
      <c r="D214" s="8"/>
      <c r="E214" s="8"/>
      <c r="F214" s="9"/>
      <c r="G214" s="9"/>
      <c r="H214" s="10"/>
      <c r="I214" s="10"/>
      <c r="J214" s="10"/>
      <c r="K214" s="11"/>
      <c r="L214" s="11"/>
      <c r="M214" s="11"/>
      <c r="N214" s="11"/>
      <c r="O214" s="11"/>
      <c r="P214" s="11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>
      <c r="A215" s="6"/>
      <c r="B215" s="35"/>
      <c r="C215" s="6"/>
      <c r="D215" s="8"/>
      <c r="E215" s="8"/>
      <c r="F215" s="9"/>
      <c r="G215" s="9"/>
      <c r="H215" s="10"/>
      <c r="I215" s="10"/>
      <c r="J215" s="10"/>
      <c r="K215" s="11"/>
      <c r="L215" s="11"/>
      <c r="M215" s="11"/>
      <c r="N215" s="11"/>
      <c r="O215" s="11"/>
      <c r="P215" s="11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>
      <c r="A216" s="6"/>
      <c r="B216" s="35"/>
      <c r="C216" s="6"/>
      <c r="D216" s="8"/>
      <c r="E216" s="8"/>
      <c r="F216" s="9"/>
      <c r="G216" s="9"/>
      <c r="H216" s="10"/>
      <c r="I216" s="10"/>
      <c r="J216" s="10"/>
      <c r="K216" s="11"/>
      <c r="L216" s="11"/>
      <c r="M216" s="11"/>
      <c r="N216" s="11"/>
      <c r="O216" s="11"/>
      <c r="P216" s="11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>
      <c r="A217" s="6"/>
      <c r="B217" s="35"/>
      <c r="C217" s="6"/>
      <c r="D217" s="8"/>
      <c r="E217" s="8"/>
      <c r="F217" s="9"/>
      <c r="G217" s="9"/>
      <c r="H217" s="10"/>
      <c r="I217" s="10"/>
      <c r="J217" s="10"/>
      <c r="K217" s="11"/>
      <c r="L217" s="11"/>
      <c r="M217" s="11"/>
      <c r="N217" s="11"/>
      <c r="O217" s="11"/>
      <c r="P217" s="11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>
      <c r="A218" s="6"/>
      <c r="B218" s="35"/>
      <c r="C218" s="6"/>
      <c r="D218" s="8"/>
      <c r="E218" s="8"/>
      <c r="F218" s="9"/>
      <c r="G218" s="9"/>
      <c r="H218" s="10"/>
      <c r="I218" s="10"/>
      <c r="J218" s="10"/>
      <c r="K218" s="11"/>
      <c r="L218" s="11"/>
      <c r="M218" s="11"/>
      <c r="N218" s="11"/>
      <c r="O218" s="11"/>
      <c r="P218" s="11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>
      <c r="A219" s="6"/>
      <c r="B219" s="35"/>
      <c r="C219" s="6"/>
      <c r="D219" s="8"/>
      <c r="E219" s="8"/>
      <c r="F219" s="9"/>
      <c r="G219" s="9"/>
      <c r="H219" s="10"/>
      <c r="I219" s="10"/>
      <c r="J219" s="10"/>
      <c r="K219" s="11"/>
      <c r="L219" s="11"/>
      <c r="M219" s="11"/>
      <c r="N219" s="11"/>
      <c r="O219" s="11"/>
      <c r="P219" s="11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>
      <c r="A220" s="6"/>
      <c r="B220" s="35"/>
      <c r="C220" s="6"/>
      <c r="D220" s="8"/>
      <c r="E220" s="8"/>
      <c r="F220" s="9"/>
      <c r="G220" s="9"/>
      <c r="H220" s="10"/>
      <c r="I220" s="10"/>
      <c r="J220" s="10"/>
      <c r="K220" s="11"/>
      <c r="L220" s="11"/>
      <c r="M220" s="11"/>
      <c r="N220" s="11"/>
      <c r="O220" s="11"/>
      <c r="P220" s="11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>
      <c r="A221" s="6"/>
      <c r="B221" s="35"/>
      <c r="C221" s="6"/>
      <c r="D221" s="8"/>
      <c r="E221" s="8"/>
      <c r="F221" s="9"/>
      <c r="G221" s="9"/>
      <c r="H221" s="10"/>
      <c r="I221" s="10"/>
      <c r="J221" s="10"/>
      <c r="K221" s="11"/>
      <c r="L221" s="11"/>
      <c r="M221" s="11"/>
      <c r="N221" s="11"/>
      <c r="O221" s="11"/>
      <c r="P221" s="11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>
      <c r="A222" s="6"/>
      <c r="B222" s="35"/>
      <c r="C222" s="6"/>
      <c r="D222" s="8"/>
      <c r="E222" s="8"/>
      <c r="F222" s="34"/>
      <c r="G222" s="34"/>
      <c r="H222" s="10"/>
      <c r="I222" s="10"/>
      <c r="J222" s="10"/>
      <c r="K222" s="11"/>
      <c r="L222" s="11"/>
      <c r="M222" s="11"/>
      <c r="N222" s="11"/>
      <c r="O222" s="11"/>
      <c r="P222" s="11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>
      <c r="A223" s="6"/>
      <c r="B223" s="35"/>
      <c r="C223" s="6"/>
      <c r="D223" s="8"/>
      <c r="E223" s="8"/>
      <c r="F223" s="9"/>
      <c r="G223" s="9"/>
      <c r="H223" s="10"/>
      <c r="I223" s="10"/>
      <c r="J223" s="10"/>
      <c r="K223" s="11"/>
      <c r="L223" s="11"/>
      <c r="M223" s="11"/>
      <c r="N223" s="11"/>
      <c r="O223" s="11"/>
      <c r="P223" s="11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>
      <c r="A224" s="6"/>
      <c r="B224" s="35"/>
      <c r="C224" s="6"/>
      <c r="D224" s="8"/>
      <c r="E224" s="8"/>
      <c r="F224" s="9"/>
      <c r="G224" s="9"/>
      <c r="H224" s="10"/>
      <c r="I224" s="10"/>
      <c r="J224" s="10"/>
      <c r="K224" s="11"/>
      <c r="L224" s="11"/>
      <c r="M224" s="11"/>
      <c r="N224" s="11"/>
      <c r="O224" s="11"/>
      <c r="P224" s="11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>
      <c r="A225" s="6"/>
      <c r="B225" s="35"/>
      <c r="C225" s="6"/>
      <c r="D225" s="8"/>
      <c r="E225" s="8"/>
      <c r="F225" s="9"/>
      <c r="G225" s="9"/>
      <c r="H225" s="10"/>
      <c r="I225" s="10"/>
      <c r="J225" s="10"/>
      <c r="K225" s="11"/>
      <c r="L225" s="11"/>
      <c r="M225" s="11"/>
      <c r="N225" s="11"/>
      <c r="O225" s="11"/>
      <c r="P225" s="11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>
      <c r="A226" s="6"/>
      <c r="B226" s="35"/>
      <c r="C226" s="6"/>
      <c r="D226" s="8"/>
      <c r="E226" s="8"/>
      <c r="F226" s="9"/>
      <c r="G226" s="9"/>
      <c r="H226" s="10"/>
      <c r="I226" s="10"/>
      <c r="J226" s="10"/>
      <c r="K226" s="11"/>
      <c r="L226" s="11"/>
      <c r="M226" s="11"/>
      <c r="N226" s="11"/>
      <c r="O226" s="11"/>
      <c r="P226" s="11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>
      <c r="A227" s="6"/>
      <c r="B227" s="35"/>
      <c r="C227" s="6"/>
      <c r="D227" s="8"/>
      <c r="E227" s="8"/>
      <c r="F227" s="34"/>
      <c r="G227" s="34"/>
      <c r="H227" s="10"/>
      <c r="I227" s="10"/>
      <c r="J227" s="10"/>
      <c r="K227" s="11"/>
      <c r="L227" s="11"/>
      <c r="M227" s="11"/>
      <c r="N227" s="11"/>
      <c r="O227" s="11"/>
      <c r="P227" s="11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>
      <c r="A228" s="6"/>
      <c r="B228" s="35"/>
      <c r="C228" s="6"/>
      <c r="D228" s="8"/>
      <c r="E228" s="8"/>
      <c r="F228" s="9"/>
      <c r="G228" s="9"/>
      <c r="H228" s="10"/>
      <c r="I228" s="10"/>
      <c r="J228" s="10"/>
      <c r="K228" s="11"/>
      <c r="L228" s="11"/>
      <c r="M228" s="11"/>
      <c r="N228" s="11"/>
      <c r="O228" s="11"/>
      <c r="P228" s="11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>
      <c r="A229" s="6"/>
      <c r="B229" s="35"/>
      <c r="C229" s="6"/>
      <c r="D229" s="8"/>
      <c r="E229" s="8"/>
      <c r="F229" s="9"/>
      <c r="G229" s="9"/>
      <c r="H229" s="10"/>
      <c r="I229" s="10"/>
      <c r="J229" s="10"/>
      <c r="K229" s="11"/>
      <c r="L229" s="11"/>
      <c r="M229" s="11"/>
      <c r="N229" s="11"/>
      <c r="O229" s="11"/>
      <c r="P229" s="11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>
      <c r="A230" s="6"/>
      <c r="B230" s="35"/>
      <c r="C230" s="6"/>
      <c r="D230" s="8"/>
      <c r="E230" s="8"/>
      <c r="F230" s="9"/>
      <c r="G230" s="9"/>
      <c r="H230" s="10"/>
      <c r="I230" s="10"/>
      <c r="J230" s="10"/>
      <c r="K230" s="11"/>
      <c r="L230" s="11"/>
      <c r="M230" s="11"/>
      <c r="N230" s="11"/>
      <c r="O230" s="11"/>
      <c r="P230" s="11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>
      <c r="A231" s="6"/>
      <c r="B231" s="35"/>
      <c r="C231" s="6"/>
      <c r="D231" s="8"/>
      <c r="E231" s="8"/>
      <c r="F231" s="34"/>
      <c r="G231" s="34"/>
      <c r="H231" s="10"/>
      <c r="I231" s="10"/>
      <c r="J231" s="10"/>
      <c r="K231" s="11"/>
      <c r="L231" s="11"/>
      <c r="M231" s="11"/>
      <c r="N231" s="11"/>
      <c r="O231" s="11"/>
      <c r="P231" s="11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>
      <c r="A232" s="6"/>
      <c r="B232" s="35"/>
      <c r="C232" s="6"/>
      <c r="D232" s="8"/>
      <c r="E232" s="8"/>
      <c r="F232" s="9"/>
      <c r="G232" s="9"/>
      <c r="H232" s="10"/>
      <c r="I232" s="10"/>
      <c r="J232" s="10"/>
      <c r="K232" s="11"/>
      <c r="L232" s="11"/>
      <c r="M232" s="11"/>
      <c r="N232" s="11"/>
      <c r="O232" s="11"/>
      <c r="P232" s="11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>
      <c r="A233" s="6"/>
      <c r="B233" s="35"/>
      <c r="C233" s="6"/>
      <c r="D233" s="8"/>
      <c r="E233" s="6"/>
      <c r="F233" s="40"/>
      <c r="G233" s="40"/>
      <c r="H233" s="10"/>
      <c r="I233" s="10"/>
      <c r="J233" s="10"/>
      <c r="K233" s="11"/>
      <c r="L233" s="11"/>
      <c r="M233" s="11"/>
      <c r="N233" s="11"/>
      <c r="O233" s="11"/>
      <c r="P233" s="11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>
      <c r="A234" s="6"/>
      <c r="B234" s="35"/>
      <c r="C234" s="6"/>
      <c r="D234" s="8"/>
      <c r="E234" s="8"/>
      <c r="F234" s="34"/>
      <c r="G234" s="34"/>
      <c r="H234" s="10"/>
      <c r="I234" s="10"/>
      <c r="J234" s="10"/>
      <c r="K234" s="11"/>
      <c r="L234" s="11"/>
      <c r="M234" s="11"/>
      <c r="N234" s="11"/>
      <c r="O234" s="11"/>
      <c r="P234" s="11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>
      <c r="A235" s="6"/>
      <c r="B235" s="35"/>
      <c r="C235" s="6"/>
      <c r="D235" s="8"/>
      <c r="E235" s="8"/>
      <c r="F235" s="34"/>
      <c r="G235" s="34"/>
      <c r="H235" s="10"/>
      <c r="I235" s="10"/>
      <c r="J235" s="10"/>
      <c r="K235" s="11"/>
      <c r="L235" s="11"/>
      <c r="M235" s="11"/>
      <c r="N235" s="11"/>
      <c r="O235" s="11"/>
      <c r="P235" s="11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>
      <c r="A236" s="6"/>
      <c r="B236" s="35"/>
      <c r="C236" s="6"/>
      <c r="D236" s="8"/>
      <c r="E236" s="8"/>
      <c r="F236" s="9"/>
      <c r="G236" s="9"/>
      <c r="H236" s="10"/>
      <c r="I236" s="10"/>
      <c r="J236" s="10"/>
      <c r="K236" s="11"/>
      <c r="L236" s="11"/>
      <c r="M236" s="11"/>
      <c r="N236" s="11"/>
      <c r="O236" s="11"/>
      <c r="P236" s="11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>
      <c r="A237" s="6"/>
      <c r="B237" s="35"/>
      <c r="C237" s="6"/>
      <c r="D237" s="8"/>
      <c r="E237" s="6"/>
      <c r="F237" s="34"/>
      <c r="G237" s="34"/>
      <c r="H237" s="10"/>
      <c r="I237" s="10"/>
      <c r="J237" s="10"/>
      <c r="K237" s="11"/>
      <c r="L237" s="11"/>
      <c r="M237" s="11"/>
      <c r="N237" s="11"/>
      <c r="O237" s="11"/>
      <c r="P237" s="11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>
      <c r="A238" s="6"/>
      <c r="B238" s="35"/>
      <c r="C238" s="6"/>
      <c r="D238" s="8"/>
      <c r="E238" s="8"/>
      <c r="F238" s="34"/>
      <c r="G238" s="34"/>
      <c r="H238" s="10"/>
      <c r="I238" s="10"/>
      <c r="J238" s="10"/>
      <c r="K238" s="11"/>
      <c r="L238" s="11"/>
      <c r="M238" s="11"/>
      <c r="N238" s="11"/>
      <c r="O238" s="11"/>
      <c r="P238" s="11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>
      <c r="A239" s="6"/>
      <c r="B239" s="35"/>
      <c r="C239" s="6"/>
      <c r="D239" s="8"/>
      <c r="E239" s="6"/>
      <c r="F239" s="34"/>
      <c r="G239" s="34"/>
      <c r="H239" s="10"/>
      <c r="I239" s="10"/>
      <c r="J239" s="10"/>
      <c r="K239" s="11"/>
      <c r="L239" s="11"/>
      <c r="M239" s="11"/>
      <c r="N239" s="11"/>
      <c r="O239" s="11"/>
      <c r="P239" s="11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>
      <c r="A240" s="6"/>
      <c r="B240" s="35"/>
      <c r="C240" s="6"/>
      <c r="D240" s="8"/>
      <c r="E240" s="8"/>
      <c r="F240" s="9"/>
      <c r="G240" s="9"/>
      <c r="H240" s="10"/>
      <c r="I240" s="10"/>
      <c r="J240" s="10"/>
      <c r="K240" s="11"/>
      <c r="L240" s="11"/>
      <c r="M240" s="11"/>
      <c r="N240" s="11"/>
      <c r="O240" s="11"/>
      <c r="P240" s="11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>
      <c r="A241" s="6"/>
      <c r="B241" s="35"/>
      <c r="C241" s="6"/>
      <c r="D241" s="8"/>
      <c r="E241" s="8"/>
      <c r="F241" s="9"/>
      <c r="G241" s="9"/>
      <c r="H241" s="10"/>
      <c r="I241" s="10"/>
      <c r="J241" s="10"/>
      <c r="K241" s="11"/>
      <c r="L241" s="11"/>
      <c r="M241" s="11"/>
      <c r="N241" s="11"/>
      <c r="O241" s="11"/>
      <c r="P241" s="11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>
      <c r="A242" s="6"/>
      <c r="B242" s="35"/>
      <c r="C242" s="6"/>
      <c r="D242" s="8"/>
      <c r="E242" s="6"/>
      <c r="F242" s="9"/>
      <c r="G242" s="9"/>
      <c r="H242" s="10"/>
      <c r="I242" s="10"/>
      <c r="J242" s="10"/>
      <c r="K242" s="11"/>
      <c r="L242" s="11"/>
      <c r="M242" s="11"/>
      <c r="N242" s="11"/>
      <c r="O242" s="11"/>
      <c r="P242" s="11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>
      <c r="A243" s="6"/>
      <c r="B243" s="35"/>
      <c r="C243" s="6"/>
      <c r="D243" s="8"/>
      <c r="E243" s="8"/>
      <c r="F243" s="34"/>
      <c r="G243" s="34"/>
      <c r="H243" s="10"/>
      <c r="I243" s="10"/>
      <c r="J243" s="10"/>
      <c r="K243" s="11"/>
      <c r="L243" s="11"/>
      <c r="M243" s="11"/>
      <c r="N243" s="11"/>
      <c r="O243" s="11"/>
      <c r="P243" s="11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>
      <c r="A244" s="6"/>
      <c r="B244" s="35"/>
      <c r="C244" s="6"/>
      <c r="D244" s="8"/>
      <c r="E244" s="6"/>
      <c r="F244" s="9"/>
      <c r="G244" s="9"/>
      <c r="H244" s="10"/>
      <c r="I244" s="10"/>
      <c r="J244" s="10"/>
      <c r="K244" s="11"/>
      <c r="L244" s="11"/>
      <c r="M244" s="11"/>
      <c r="N244" s="11"/>
      <c r="O244" s="11"/>
      <c r="P244" s="11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>
      <c r="A245" s="6"/>
      <c r="B245" s="35"/>
      <c r="C245" s="6"/>
      <c r="D245" s="8"/>
      <c r="E245" s="6"/>
      <c r="F245" s="40"/>
      <c r="G245" s="40"/>
      <c r="H245" s="10"/>
      <c r="I245" s="10"/>
      <c r="J245" s="10"/>
      <c r="K245" s="11"/>
      <c r="L245" s="11"/>
      <c r="M245" s="11"/>
      <c r="N245" s="11"/>
      <c r="O245" s="11"/>
      <c r="P245" s="11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>
      <c r="A246" s="6"/>
      <c r="B246" s="35"/>
      <c r="C246" s="6"/>
      <c r="D246" s="8"/>
      <c r="E246" s="8"/>
      <c r="F246" s="34"/>
      <c r="G246" s="34"/>
      <c r="H246" s="10"/>
      <c r="I246" s="10"/>
      <c r="J246" s="10"/>
      <c r="K246" s="11"/>
      <c r="L246" s="11"/>
      <c r="M246" s="11"/>
      <c r="N246" s="11"/>
      <c r="O246" s="11"/>
      <c r="P246" s="11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>
      <c r="A247" s="6"/>
      <c r="B247" s="35"/>
      <c r="C247" s="6"/>
      <c r="D247" s="8"/>
      <c r="E247" s="8"/>
      <c r="F247" s="9"/>
      <c r="G247" s="9"/>
      <c r="H247" s="10"/>
      <c r="I247" s="10"/>
      <c r="J247" s="10"/>
      <c r="K247" s="11"/>
      <c r="L247" s="11"/>
      <c r="M247" s="11"/>
      <c r="N247" s="11"/>
      <c r="O247" s="11"/>
      <c r="P247" s="11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>
      <c r="A248" s="6"/>
      <c r="B248" s="35"/>
      <c r="C248" s="6"/>
      <c r="D248" s="8"/>
      <c r="E248" s="8"/>
      <c r="F248" s="9"/>
      <c r="G248" s="9"/>
      <c r="H248" s="10"/>
      <c r="I248" s="10"/>
      <c r="J248" s="10"/>
      <c r="K248" s="11"/>
      <c r="L248" s="11"/>
      <c r="M248" s="11"/>
      <c r="N248" s="11"/>
      <c r="O248" s="11"/>
      <c r="P248" s="11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>
      <c r="A249" s="6"/>
      <c r="B249" s="35"/>
      <c r="C249" s="6"/>
      <c r="D249" s="8"/>
      <c r="E249" s="6"/>
      <c r="F249" s="9"/>
      <c r="G249" s="9"/>
      <c r="H249" s="10"/>
      <c r="I249" s="10"/>
      <c r="J249" s="10"/>
      <c r="K249" s="11"/>
      <c r="L249" s="11"/>
      <c r="M249" s="11"/>
      <c r="N249" s="11"/>
      <c r="O249" s="11"/>
      <c r="P249" s="11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>
      <c r="A250" s="6"/>
      <c r="B250" s="35"/>
      <c r="C250" s="6"/>
      <c r="D250" s="8"/>
      <c r="E250" s="6"/>
      <c r="F250" s="34"/>
      <c r="G250" s="34"/>
      <c r="H250" s="10"/>
      <c r="I250" s="10"/>
      <c r="J250" s="10"/>
      <c r="K250" s="11"/>
      <c r="L250" s="11"/>
      <c r="M250" s="11"/>
      <c r="N250" s="11"/>
      <c r="O250" s="11"/>
      <c r="P250" s="11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>
      <c r="A251" s="6"/>
      <c r="B251" s="35"/>
      <c r="C251" s="6"/>
      <c r="D251" s="8"/>
      <c r="E251" s="8"/>
      <c r="F251" s="9"/>
      <c r="G251" s="9"/>
      <c r="H251" s="10"/>
      <c r="I251" s="10"/>
      <c r="J251" s="10"/>
      <c r="K251" s="11"/>
      <c r="L251" s="11"/>
      <c r="M251" s="11"/>
      <c r="N251" s="11"/>
      <c r="O251" s="11"/>
      <c r="P251" s="11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>
      <c r="A252" s="6"/>
      <c r="B252" s="35"/>
      <c r="C252" s="6"/>
      <c r="D252" s="8"/>
      <c r="E252" s="6"/>
      <c r="F252" s="40"/>
      <c r="G252" s="40"/>
      <c r="H252" s="10"/>
      <c r="I252" s="10"/>
      <c r="J252" s="10"/>
      <c r="K252" s="11"/>
      <c r="L252" s="11"/>
      <c r="M252" s="11"/>
      <c r="N252" s="11"/>
      <c r="O252" s="11"/>
      <c r="P252" s="11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>
      <c r="A253" s="6"/>
      <c r="B253" s="35"/>
      <c r="C253" s="6"/>
      <c r="D253" s="8"/>
      <c r="E253" s="8"/>
      <c r="F253" s="34"/>
      <c r="G253" s="34"/>
      <c r="H253" s="10"/>
      <c r="I253" s="10"/>
      <c r="J253" s="10"/>
      <c r="K253" s="11"/>
      <c r="L253" s="11"/>
      <c r="M253" s="11"/>
      <c r="N253" s="11"/>
      <c r="O253" s="11"/>
      <c r="P253" s="11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>
      <c r="A254" s="6"/>
      <c r="B254" s="35"/>
      <c r="C254" s="6"/>
      <c r="D254" s="8"/>
      <c r="E254" s="8"/>
      <c r="F254" s="9"/>
      <c r="G254" s="9"/>
      <c r="H254" s="10"/>
      <c r="I254" s="10"/>
      <c r="J254" s="10"/>
      <c r="K254" s="11"/>
      <c r="L254" s="11"/>
      <c r="M254" s="11"/>
      <c r="N254" s="11"/>
      <c r="O254" s="11"/>
      <c r="P254" s="11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>
      <c r="A255" s="6"/>
      <c r="B255" s="35"/>
      <c r="C255" s="6"/>
      <c r="D255" s="8"/>
      <c r="E255" s="6"/>
      <c r="F255" s="9"/>
      <c r="G255" s="9"/>
      <c r="H255" s="10"/>
      <c r="I255" s="10"/>
      <c r="J255" s="10"/>
      <c r="K255" s="11"/>
      <c r="L255" s="11"/>
      <c r="M255" s="11"/>
      <c r="N255" s="11"/>
      <c r="O255" s="11"/>
      <c r="P255" s="11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>
      <c r="A256" s="6"/>
      <c r="B256" s="35"/>
      <c r="C256" s="6"/>
      <c r="D256" s="8"/>
      <c r="E256" s="8"/>
      <c r="F256" s="9"/>
      <c r="G256" s="9"/>
      <c r="H256" s="10"/>
      <c r="I256" s="10"/>
      <c r="J256" s="10"/>
      <c r="K256" s="11"/>
      <c r="L256" s="11"/>
      <c r="M256" s="11"/>
      <c r="N256" s="11"/>
      <c r="O256" s="11"/>
      <c r="P256" s="11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>
      <c r="A257" s="6"/>
      <c r="B257" s="35"/>
      <c r="C257" s="6"/>
      <c r="D257" s="8"/>
      <c r="E257" s="6"/>
      <c r="F257" s="9"/>
      <c r="G257" s="9"/>
      <c r="H257" s="10"/>
      <c r="I257" s="10"/>
      <c r="J257" s="10"/>
      <c r="K257" s="11"/>
      <c r="L257" s="11"/>
      <c r="M257" s="11"/>
      <c r="N257" s="11"/>
      <c r="O257" s="11"/>
      <c r="P257" s="11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>
      <c r="A258" s="6"/>
      <c r="B258" s="35"/>
      <c r="C258" s="6"/>
      <c r="D258" s="8"/>
      <c r="E258" s="6"/>
      <c r="F258" s="34"/>
      <c r="G258" s="34"/>
      <c r="H258" s="10"/>
      <c r="I258" s="10"/>
      <c r="J258" s="10"/>
      <c r="K258" s="11"/>
      <c r="L258" s="11"/>
      <c r="M258" s="11"/>
      <c r="N258" s="11"/>
      <c r="O258" s="11"/>
      <c r="P258" s="11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>
      <c r="A259" s="6"/>
      <c r="B259" s="35"/>
      <c r="C259" s="6"/>
      <c r="D259" s="8"/>
      <c r="E259" s="6"/>
      <c r="F259" s="9"/>
      <c r="G259" s="9"/>
      <c r="H259" s="10"/>
      <c r="I259" s="10"/>
      <c r="J259" s="10"/>
      <c r="K259" s="11"/>
      <c r="L259" s="11"/>
      <c r="M259" s="11"/>
      <c r="N259" s="11"/>
      <c r="O259" s="11"/>
      <c r="P259" s="11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>
      <c r="A260" s="6"/>
      <c r="B260" s="35"/>
      <c r="C260" s="6"/>
      <c r="D260" s="8"/>
      <c r="E260" s="6"/>
      <c r="F260" s="40"/>
      <c r="G260" s="40"/>
      <c r="H260" s="10"/>
      <c r="I260" s="10"/>
      <c r="J260" s="10"/>
      <c r="K260" s="11"/>
      <c r="L260" s="11"/>
      <c r="M260" s="11"/>
      <c r="N260" s="11"/>
      <c r="O260" s="11"/>
      <c r="P260" s="11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>
      <c r="A261" s="6"/>
      <c r="B261" s="35"/>
      <c r="C261" s="6"/>
      <c r="D261" s="8"/>
      <c r="E261" s="6"/>
      <c r="F261" s="9"/>
      <c r="G261" s="9"/>
      <c r="H261" s="10"/>
      <c r="I261" s="10"/>
      <c r="J261" s="10"/>
      <c r="K261" s="11"/>
      <c r="L261" s="11"/>
      <c r="M261" s="11"/>
      <c r="N261" s="11"/>
      <c r="O261" s="11"/>
      <c r="P261" s="11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>
      <c r="A262" s="6"/>
      <c r="B262" s="35"/>
      <c r="C262" s="6"/>
      <c r="D262" s="8"/>
      <c r="E262" s="6"/>
      <c r="F262" s="9"/>
      <c r="G262" s="9"/>
      <c r="H262" s="10"/>
      <c r="I262" s="10"/>
      <c r="J262" s="10"/>
      <c r="K262" s="11"/>
      <c r="L262" s="11"/>
      <c r="M262" s="11"/>
      <c r="N262" s="11"/>
      <c r="O262" s="11"/>
      <c r="P262" s="11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>
      <c r="A263" s="6"/>
      <c r="B263" s="35"/>
      <c r="C263" s="6"/>
      <c r="D263" s="8"/>
      <c r="E263" s="8"/>
      <c r="F263" s="9"/>
      <c r="G263" s="9"/>
      <c r="H263" s="10"/>
      <c r="I263" s="10"/>
      <c r="J263" s="10"/>
      <c r="K263" s="11"/>
      <c r="L263" s="11"/>
      <c r="M263" s="11"/>
      <c r="N263" s="11"/>
      <c r="O263" s="11"/>
      <c r="P263" s="11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>
      <c r="A264" s="6"/>
      <c r="B264" s="35"/>
      <c r="C264" s="6"/>
      <c r="D264" s="8"/>
      <c r="E264" s="6"/>
      <c r="F264" s="9"/>
      <c r="G264" s="9"/>
      <c r="H264" s="10"/>
      <c r="I264" s="10"/>
      <c r="J264" s="10"/>
      <c r="K264" s="11"/>
      <c r="L264" s="11"/>
      <c r="M264" s="11"/>
      <c r="N264" s="11"/>
      <c r="O264" s="11"/>
      <c r="P264" s="11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>
      <c r="A265" s="6"/>
      <c r="B265" s="35"/>
      <c r="C265" s="6"/>
      <c r="D265" s="8"/>
      <c r="E265" s="8"/>
      <c r="F265" s="9"/>
      <c r="G265" s="9"/>
      <c r="H265" s="10"/>
      <c r="I265" s="10"/>
      <c r="J265" s="10"/>
      <c r="K265" s="11"/>
      <c r="L265" s="11"/>
      <c r="M265" s="11"/>
      <c r="N265" s="11"/>
      <c r="O265" s="11"/>
      <c r="P265" s="11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>
      <c r="A266" s="6"/>
      <c r="B266" s="35"/>
      <c r="C266" s="6"/>
      <c r="D266" s="8"/>
      <c r="E266" s="6"/>
      <c r="F266" s="9"/>
      <c r="G266" s="9"/>
      <c r="H266" s="10"/>
      <c r="I266" s="10"/>
      <c r="J266" s="10"/>
      <c r="K266" s="11"/>
      <c r="L266" s="11"/>
      <c r="M266" s="11"/>
      <c r="N266" s="11"/>
      <c r="O266" s="11"/>
      <c r="P266" s="11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>
      <c r="A267" s="6"/>
      <c r="B267" s="35"/>
      <c r="C267" s="6"/>
      <c r="D267" s="8"/>
      <c r="E267" s="6"/>
      <c r="F267" s="9"/>
      <c r="G267" s="9"/>
      <c r="H267" s="10"/>
      <c r="I267" s="10"/>
      <c r="J267" s="10"/>
      <c r="K267" s="11"/>
      <c r="L267" s="11"/>
      <c r="M267" s="11"/>
      <c r="N267" s="11"/>
      <c r="O267" s="11"/>
      <c r="P267" s="11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>
      <c r="A268" s="6"/>
      <c r="B268" s="35"/>
      <c r="C268" s="6"/>
      <c r="D268" s="8"/>
      <c r="E268" s="6"/>
      <c r="F268" s="9"/>
      <c r="G268" s="9"/>
      <c r="H268" s="10"/>
      <c r="I268" s="10"/>
      <c r="J268" s="10"/>
      <c r="K268" s="11"/>
      <c r="L268" s="11"/>
      <c r="M268" s="11"/>
      <c r="N268" s="11"/>
      <c r="O268" s="11"/>
      <c r="P268" s="11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>
      <c r="A269" s="6"/>
      <c r="B269" s="35"/>
      <c r="C269" s="6"/>
      <c r="D269" s="8"/>
      <c r="E269" s="6"/>
      <c r="F269" s="9"/>
      <c r="G269" s="9"/>
      <c r="H269" s="10"/>
      <c r="I269" s="10"/>
      <c r="J269" s="10"/>
      <c r="K269" s="11"/>
      <c r="L269" s="11"/>
      <c r="M269" s="11"/>
      <c r="N269" s="11"/>
      <c r="O269" s="11"/>
      <c r="P269" s="11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>
      <c r="A270" s="6"/>
      <c r="B270" s="35"/>
      <c r="C270" s="6"/>
      <c r="D270" s="8"/>
      <c r="E270" s="6"/>
      <c r="F270" s="9"/>
      <c r="G270" s="9"/>
      <c r="H270" s="10"/>
      <c r="I270" s="10"/>
      <c r="J270" s="10"/>
      <c r="K270" s="11"/>
      <c r="L270" s="11"/>
      <c r="M270" s="11"/>
      <c r="N270" s="11"/>
      <c r="O270" s="11"/>
      <c r="P270" s="11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>
      <c r="A271" s="6"/>
      <c r="B271" s="35"/>
      <c r="C271" s="6"/>
      <c r="D271" s="8"/>
      <c r="E271" s="6"/>
      <c r="F271" s="9"/>
      <c r="G271" s="9"/>
      <c r="H271" s="10"/>
      <c r="I271" s="10"/>
      <c r="J271" s="10"/>
      <c r="K271" s="11"/>
      <c r="L271" s="11"/>
      <c r="M271" s="11"/>
      <c r="N271" s="11"/>
      <c r="O271" s="11"/>
      <c r="P271" s="11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>
      <c r="A272" s="6"/>
      <c r="B272" s="35"/>
      <c r="C272" s="6"/>
      <c r="D272" s="8"/>
      <c r="E272" s="6"/>
      <c r="F272" s="9"/>
      <c r="G272" s="9"/>
      <c r="H272" s="10"/>
      <c r="I272" s="10"/>
      <c r="J272" s="10"/>
      <c r="K272" s="11"/>
      <c r="L272" s="11"/>
      <c r="M272" s="11"/>
      <c r="N272" s="11"/>
      <c r="O272" s="11"/>
      <c r="P272" s="11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>
      <c r="A273" s="6"/>
      <c r="B273" s="35"/>
      <c r="C273" s="6"/>
      <c r="D273" s="8"/>
      <c r="E273" s="8"/>
      <c r="F273" s="9"/>
      <c r="G273" s="9"/>
      <c r="H273" s="10"/>
      <c r="I273" s="10"/>
      <c r="J273" s="10"/>
      <c r="K273" s="11"/>
      <c r="L273" s="11"/>
      <c r="M273" s="11"/>
      <c r="N273" s="11"/>
      <c r="O273" s="11"/>
      <c r="P273" s="11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>
      <c r="A274" s="6"/>
      <c r="B274" s="35"/>
      <c r="C274" s="6"/>
      <c r="D274" s="8"/>
      <c r="E274" s="6"/>
      <c r="F274" s="9"/>
      <c r="G274" s="9"/>
      <c r="H274" s="10"/>
      <c r="I274" s="10"/>
      <c r="J274" s="10"/>
      <c r="K274" s="11"/>
      <c r="L274" s="11"/>
      <c r="M274" s="11"/>
      <c r="N274" s="11"/>
      <c r="O274" s="11"/>
      <c r="P274" s="11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>
      <c r="A275" s="6"/>
      <c r="B275" s="35"/>
      <c r="C275" s="6"/>
      <c r="D275" s="8"/>
      <c r="E275" s="6"/>
      <c r="F275" s="9"/>
      <c r="G275" s="9"/>
      <c r="H275" s="10"/>
      <c r="I275" s="10"/>
      <c r="J275" s="10"/>
      <c r="K275" s="11"/>
      <c r="L275" s="11"/>
      <c r="M275" s="11"/>
      <c r="N275" s="11"/>
      <c r="O275" s="11"/>
      <c r="P275" s="11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>
      <c r="A276" s="6"/>
      <c r="B276" s="35"/>
      <c r="C276" s="6"/>
      <c r="D276" s="8"/>
      <c r="E276" s="6"/>
      <c r="F276" s="9"/>
      <c r="G276" s="9"/>
      <c r="H276" s="10"/>
      <c r="I276" s="10"/>
      <c r="J276" s="10"/>
      <c r="K276" s="11"/>
      <c r="L276" s="11"/>
      <c r="M276" s="11"/>
      <c r="N276" s="11"/>
      <c r="O276" s="11"/>
      <c r="P276" s="11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>
      <c r="A277" s="6"/>
      <c r="B277" s="35"/>
      <c r="C277" s="6"/>
      <c r="D277" s="8"/>
      <c r="E277" s="6"/>
      <c r="F277" s="9"/>
      <c r="G277" s="9"/>
      <c r="H277" s="10"/>
      <c r="I277" s="10"/>
      <c r="J277" s="10"/>
      <c r="K277" s="11"/>
      <c r="L277" s="11"/>
      <c r="M277" s="11"/>
      <c r="N277" s="11"/>
      <c r="O277" s="11"/>
      <c r="P277" s="11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>
      <c r="A278" s="6"/>
      <c r="B278" s="35"/>
      <c r="C278" s="6"/>
      <c r="D278" s="8"/>
      <c r="E278" s="6"/>
      <c r="F278" s="9"/>
      <c r="G278" s="9"/>
      <c r="H278" s="10"/>
      <c r="I278" s="10"/>
      <c r="J278" s="10"/>
      <c r="K278" s="11"/>
      <c r="L278" s="11"/>
      <c r="M278" s="11"/>
      <c r="N278" s="11"/>
      <c r="O278" s="11"/>
      <c r="P278" s="11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>
      <c r="A279" s="6"/>
      <c r="B279" s="35"/>
      <c r="C279" s="6"/>
      <c r="D279" s="8"/>
      <c r="E279" s="6"/>
      <c r="F279" s="9"/>
      <c r="G279" s="9"/>
      <c r="H279" s="10"/>
      <c r="I279" s="10"/>
      <c r="J279" s="10"/>
      <c r="K279" s="11"/>
      <c r="L279" s="11"/>
      <c r="M279" s="11"/>
      <c r="N279" s="11"/>
      <c r="O279" s="11"/>
      <c r="P279" s="11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>
      <c r="A280" s="6"/>
      <c r="B280" s="35"/>
      <c r="C280" s="6"/>
      <c r="D280" s="8"/>
      <c r="E280" s="8"/>
      <c r="F280" s="9"/>
      <c r="G280" s="9"/>
      <c r="H280" s="10"/>
      <c r="I280" s="10"/>
      <c r="J280" s="10"/>
      <c r="K280" s="11"/>
      <c r="L280" s="11"/>
      <c r="M280" s="11"/>
      <c r="N280" s="11"/>
      <c r="O280" s="11"/>
      <c r="P280" s="11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>
      <c r="A281" s="6"/>
      <c r="B281" s="35"/>
      <c r="C281" s="6"/>
      <c r="D281" s="8"/>
      <c r="E281" s="6"/>
      <c r="F281" s="9"/>
      <c r="G281" s="9"/>
      <c r="H281" s="10"/>
      <c r="I281" s="10"/>
      <c r="J281" s="10"/>
      <c r="K281" s="11"/>
      <c r="L281" s="11"/>
      <c r="M281" s="11"/>
      <c r="N281" s="11"/>
      <c r="O281" s="11"/>
      <c r="P281" s="11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>
      <c r="A282" s="6"/>
      <c r="B282" s="35"/>
      <c r="C282" s="6"/>
      <c r="D282" s="8"/>
      <c r="E282" s="6"/>
      <c r="F282" s="9"/>
      <c r="G282" s="9"/>
      <c r="H282" s="10"/>
      <c r="I282" s="10"/>
      <c r="J282" s="10"/>
      <c r="K282" s="11"/>
      <c r="L282" s="11"/>
      <c r="M282" s="11"/>
      <c r="N282" s="11"/>
      <c r="O282" s="11"/>
      <c r="P282" s="11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>
      <c r="A283" s="6"/>
      <c r="B283" s="35"/>
      <c r="C283" s="6"/>
      <c r="D283" s="8"/>
      <c r="E283" s="6"/>
      <c r="F283" s="9"/>
      <c r="G283" s="9"/>
      <c r="H283" s="10"/>
      <c r="I283" s="10"/>
      <c r="J283" s="10"/>
      <c r="K283" s="11"/>
      <c r="L283" s="11"/>
      <c r="M283" s="11"/>
      <c r="N283" s="11"/>
      <c r="O283" s="11"/>
      <c r="P283" s="11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>
      <c r="A284" s="6"/>
      <c r="B284" s="35"/>
      <c r="C284" s="6"/>
      <c r="D284" s="8"/>
      <c r="E284" s="8"/>
      <c r="F284" s="9"/>
      <c r="G284" s="9"/>
      <c r="H284" s="10"/>
      <c r="I284" s="10"/>
      <c r="J284" s="10"/>
      <c r="K284" s="11"/>
      <c r="L284" s="11"/>
      <c r="M284" s="11"/>
      <c r="N284" s="11"/>
      <c r="O284" s="11"/>
      <c r="P284" s="11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>
      <c r="A285" s="6"/>
      <c r="B285" s="35"/>
      <c r="C285" s="6"/>
      <c r="D285" s="8"/>
      <c r="E285" s="6"/>
      <c r="F285" s="9"/>
      <c r="G285" s="9"/>
      <c r="H285" s="10"/>
      <c r="I285" s="10"/>
      <c r="J285" s="10"/>
      <c r="K285" s="11"/>
      <c r="L285" s="11"/>
      <c r="M285" s="11"/>
      <c r="N285" s="11"/>
      <c r="O285" s="11"/>
      <c r="P285" s="11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>
      <c r="A286" s="6"/>
      <c r="B286" s="35"/>
      <c r="C286" s="6"/>
      <c r="D286" s="8"/>
      <c r="E286" s="6"/>
      <c r="F286" s="9"/>
      <c r="G286" s="9"/>
      <c r="H286" s="10"/>
      <c r="I286" s="10"/>
      <c r="J286" s="10"/>
      <c r="K286" s="11"/>
      <c r="L286" s="11"/>
      <c r="M286" s="11"/>
      <c r="N286" s="11"/>
      <c r="O286" s="11"/>
      <c r="P286" s="11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>
      <c r="A287" s="6"/>
      <c r="B287" s="35"/>
      <c r="C287" s="6"/>
      <c r="D287" s="8"/>
      <c r="E287" s="6"/>
      <c r="F287" s="9"/>
      <c r="G287" s="9"/>
      <c r="H287" s="10"/>
      <c r="I287" s="10"/>
      <c r="J287" s="10"/>
      <c r="K287" s="11"/>
      <c r="L287" s="11"/>
      <c r="M287" s="11"/>
      <c r="N287" s="11"/>
      <c r="O287" s="11"/>
      <c r="P287" s="11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>
      <c r="A288" s="6"/>
      <c r="B288" s="35"/>
      <c r="C288" s="6"/>
      <c r="D288" s="8"/>
      <c r="E288" s="8"/>
      <c r="F288" s="9"/>
      <c r="G288" s="9"/>
      <c r="H288" s="10"/>
      <c r="I288" s="10"/>
      <c r="J288" s="10"/>
      <c r="K288" s="11"/>
      <c r="L288" s="11"/>
      <c r="M288" s="11"/>
      <c r="N288" s="11"/>
      <c r="O288" s="11"/>
      <c r="P288" s="11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>
      <c r="A289" s="6"/>
      <c r="B289" s="35"/>
      <c r="C289" s="6"/>
      <c r="D289" s="8"/>
      <c r="E289" s="6"/>
      <c r="F289" s="9"/>
      <c r="G289" s="9"/>
      <c r="H289" s="10"/>
      <c r="I289" s="10"/>
      <c r="J289" s="10"/>
      <c r="K289" s="11"/>
      <c r="L289" s="11"/>
      <c r="M289" s="11"/>
      <c r="N289" s="11"/>
      <c r="O289" s="11"/>
      <c r="P289" s="11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>
      <c r="A290" s="6"/>
      <c r="B290" s="35"/>
      <c r="C290" s="6"/>
      <c r="D290" s="6"/>
      <c r="E290" s="6"/>
      <c r="F290" s="9"/>
      <c r="G290" s="9"/>
      <c r="H290" s="10"/>
      <c r="I290" s="10"/>
      <c r="J290" s="10"/>
      <c r="K290" s="11"/>
      <c r="L290" s="11"/>
      <c r="M290" s="11"/>
      <c r="N290" s="11"/>
      <c r="O290" s="11"/>
      <c r="P290" s="11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>
      <c r="A291" s="6"/>
      <c r="B291" s="35"/>
      <c r="C291" s="6"/>
      <c r="D291" s="6"/>
      <c r="E291" s="6"/>
      <c r="F291" s="9"/>
      <c r="G291" s="9"/>
      <c r="H291" s="10"/>
      <c r="I291" s="10"/>
      <c r="J291" s="10"/>
      <c r="K291" s="11"/>
      <c r="L291" s="11"/>
      <c r="M291" s="11"/>
      <c r="N291" s="11"/>
      <c r="O291" s="11"/>
      <c r="P291" s="11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>
      <c r="A292" s="6"/>
      <c r="B292" s="35"/>
      <c r="C292" s="6"/>
      <c r="D292" s="6"/>
      <c r="E292" s="6"/>
      <c r="F292" s="9"/>
      <c r="G292" s="9"/>
      <c r="H292" s="10"/>
      <c r="I292" s="10"/>
      <c r="J292" s="10"/>
      <c r="K292" s="11"/>
      <c r="L292" s="11"/>
      <c r="M292" s="11"/>
      <c r="N292" s="11"/>
      <c r="O292" s="11"/>
      <c r="P292" s="11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>
      <c r="A293" s="6"/>
      <c r="B293" s="35"/>
      <c r="C293" s="6"/>
      <c r="D293" s="6"/>
      <c r="E293" s="6"/>
      <c r="F293" s="9"/>
      <c r="G293" s="9"/>
      <c r="H293" s="10"/>
      <c r="I293" s="10"/>
      <c r="J293" s="10"/>
      <c r="K293" s="11"/>
      <c r="L293" s="11"/>
      <c r="M293" s="11"/>
      <c r="N293" s="11"/>
      <c r="O293" s="11"/>
      <c r="P293" s="11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>
      <c r="A294" s="6"/>
      <c r="B294" s="35"/>
      <c r="C294" s="6"/>
      <c r="D294" s="6"/>
      <c r="E294" s="6"/>
      <c r="F294" s="9"/>
      <c r="G294" s="9"/>
      <c r="H294" s="10"/>
      <c r="I294" s="10"/>
      <c r="J294" s="10"/>
      <c r="K294" s="11"/>
      <c r="L294" s="11"/>
      <c r="M294" s="11"/>
      <c r="N294" s="11"/>
      <c r="O294" s="11"/>
      <c r="P294" s="11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>
      <c r="A295" s="6"/>
      <c r="B295" s="35"/>
      <c r="C295" s="6"/>
      <c r="D295" s="6"/>
      <c r="E295" s="6"/>
      <c r="F295" s="9"/>
      <c r="G295" s="9"/>
      <c r="H295" s="10"/>
      <c r="I295" s="10"/>
      <c r="J295" s="10"/>
      <c r="K295" s="11"/>
      <c r="L295" s="11"/>
      <c r="M295" s="11"/>
      <c r="N295" s="11"/>
      <c r="O295" s="11"/>
      <c r="P295" s="11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>
      <c r="A296" s="6"/>
      <c r="B296" s="35"/>
      <c r="C296" s="6"/>
      <c r="D296" s="6"/>
      <c r="E296" s="6"/>
      <c r="F296" s="9"/>
      <c r="G296" s="9"/>
      <c r="H296" s="10"/>
      <c r="I296" s="10"/>
      <c r="J296" s="10"/>
      <c r="K296" s="11"/>
      <c r="L296" s="11"/>
      <c r="M296" s="11"/>
      <c r="N296" s="11"/>
      <c r="O296" s="11"/>
      <c r="P296" s="11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>
      <c r="A297" s="6"/>
      <c r="B297" s="35"/>
      <c r="C297" s="6"/>
      <c r="D297" s="6"/>
      <c r="E297" s="6"/>
      <c r="F297" s="9"/>
      <c r="G297" s="9"/>
      <c r="H297" s="10"/>
      <c r="I297" s="10"/>
      <c r="J297" s="10"/>
      <c r="K297" s="11"/>
      <c r="L297" s="11"/>
      <c r="M297" s="11"/>
      <c r="N297" s="11"/>
      <c r="O297" s="11"/>
      <c r="P297" s="11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>
      <c r="A298" s="6"/>
      <c r="B298" s="35"/>
      <c r="C298" s="6"/>
      <c r="D298" s="6"/>
      <c r="E298" s="6"/>
      <c r="F298" s="9"/>
      <c r="G298" s="9"/>
      <c r="H298" s="10"/>
      <c r="I298" s="10"/>
      <c r="J298" s="10"/>
      <c r="K298" s="11"/>
      <c r="L298" s="11"/>
      <c r="M298" s="11"/>
      <c r="N298" s="11"/>
      <c r="O298" s="11"/>
      <c r="P298" s="11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>
      <c r="A299" s="6"/>
      <c r="B299" s="35"/>
      <c r="C299" s="6"/>
      <c r="D299" s="6"/>
      <c r="E299" s="6"/>
      <c r="F299" s="9"/>
      <c r="G299" s="9"/>
      <c r="H299" s="10"/>
      <c r="I299" s="10"/>
      <c r="J299" s="10"/>
      <c r="K299" s="11"/>
      <c r="L299" s="11"/>
      <c r="M299" s="11"/>
      <c r="N299" s="11"/>
      <c r="O299" s="11"/>
      <c r="P299" s="11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>
      <c r="A300" s="6"/>
      <c r="B300" s="35"/>
      <c r="C300" s="6"/>
      <c r="D300" s="6"/>
      <c r="E300" s="6"/>
      <c r="F300" s="9"/>
      <c r="G300" s="9"/>
      <c r="H300" s="10"/>
      <c r="I300" s="10"/>
      <c r="J300" s="10"/>
      <c r="K300" s="11"/>
      <c r="L300" s="11"/>
      <c r="M300" s="11"/>
      <c r="N300" s="11"/>
      <c r="O300" s="11"/>
      <c r="P300" s="11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>
      <c r="A301" s="6"/>
      <c r="B301" s="49"/>
      <c r="C301" s="6"/>
      <c r="D301" s="6"/>
      <c r="E301" s="6"/>
      <c r="F301" s="9"/>
      <c r="G301" s="9"/>
      <c r="H301" s="10"/>
      <c r="I301" s="10"/>
      <c r="J301" s="10"/>
      <c r="K301" s="11"/>
      <c r="L301" s="11"/>
      <c r="M301" s="11"/>
      <c r="N301" s="11"/>
      <c r="O301" s="11"/>
      <c r="P301" s="11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>
      <c r="A302" s="6"/>
      <c r="B302" s="35"/>
      <c r="C302" s="6"/>
      <c r="D302" s="6"/>
      <c r="E302" s="6"/>
      <c r="F302" s="9"/>
      <c r="G302" s="9"/>
      <c r="H302" s="10"/>
      <c r="I302" s="10"/>
      <c r="J302" s="10"/>
      <c r="K302" s="11"/>
      <c r="L302" s="11"/>
      <c r="M302" s="11"/>
      <c r="N302" s="11"/>
      <c r="O302" s="11"/>
      <c r="P302" s="11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>
      <c r="A303" s="6"/>
      <c r="B303" s="35"/>
      <c r="C303" s="6"/>
      <c r="D303" s="6"/>
      <c r="E303" s="6"/>
      <c r="F303" s="9"/>
      <c r="G303" s="9"/>
      <c r="H303" s="10"/>
      <c r="I303" s="10"/>
      <c r="J303" s="10"/>
      <c r="K303" s="11"/>
      <c r="L303" s="11"/>
      <c r="M303" s="11"/>
      <c r="N303" s="11"/>
      <c r="O303" s="11"/>
      <c r="P303" s="11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>
      <c r="A304" s="6"/>
      <c r="B304" s="35"/>
      <c r="C304" s="6"/>
      <c r="D304" s="6"/>
      <c r="E304" s="6"/>
      <c r="F304" s="9"/>
      <c r="G304" s="9"/>
      <c r="H304" s="10"/>
      <c r="I304" s="10"/>
      <c r="J304" s="10"/>
      <c r="K304" s="11"/>
      <c r="L304" s="11"/>
      <c r="M304" s="11"/>
      <c r="N304" s="11"/>
      <c r="O304" s="11"/>
      <c r="P304" s="11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>
      <c r="A305" s="6"/>
      <c r="B305" s="35"/>
      <c r="C305" s="6"/>
      <c r="D305" s="6"/>
      <c r="E305" s="6"/>
      <c r="F305" s="9"/>
      <c r="G305" s="9"/>
      <c r="H305" s="10"/>
      <c r="I305" s="10"/>
      <c r="J305" s="10"/>
      <c r="K305" s="11"/>
      <c r="L305" s="11"/>
      <c r="M305" s="11"/>
      <c r="N305" s="11"/>
      <c r="O305" s="11"/>
      <c r="P305" s="11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>
      <c r="A306" s="6"/>
      <c r="B306" s="35"/>
      <c r="C306" s="6"/>
      <c r="D306" s="6"/>
      <c r="E306" s="6"/>
      <c r="F306" s="9"/>
      <c r="G306" s="9"/>
      <c r="H306" s="10"/>
      <c r="I306" s="10"/>
      <c r="J306" s="10"/>
      <c r="K306" s="11"/>
      <c r="L306" s="11"/>
      <c r="M306" s="11"/>
      <c r="N306" s="11"/>
      <c r="O306" s="11"/>
      <c r="P306" s="11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>
      <c r="A307" s="6"/>
      <c r="B307" s="35"/>
      <c r="C307" s="6"/>
      <c r="D307" s="6"/>
      <c r="E307" s="6"/>
      <c r="F307" s="9"/>
      <c r="G307" s="9"/>
      <c r="H307" s="10"/>
      <c r="I307" s="10"/>
      <c r="J307" s="10"/>
      <c r="K307" s="11"/>
      <c r="L307" s="11"/>
      <c r="M307" s="11"/>
      <c r="N307" s="11"/>
      <c r="O307" s="11"/>
      <c r="P307" s="11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>
      <c r="A308" s="6"/>
      <c r="B308" s="35"/>
      <c r="C308" s="6"/>
      <c r="D308" s="6"/>
      <c r="E308" s="6"/>
      <c r="F308" s="9"/>
      <c r="G308" s="9"/>
      <c r="H308" s="10"/>
      <c r="I308" s="10"/>
      <c r="J308" s="10"/>
      <c r="K308" s="11"/>
      <c r="L308" s="11"/>
      <c r="M308" s="11"/>
      <c r="N308" s="11"/>
      <c r="O308" s="11"/>
      <c r="P308" s="11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>
      <c r="A309" s="6"/>
      <c r="B309" s="35"/>
      <c r="C309" s="6"/>
      <c r="D309" s="6"/>
      <c r="E309" s="6"/>
      <c r="F309" s="9"/>
      <c r="G309" s="9"/>
      <c r="H309" s="10"/>
      <c r="I309" s="10"/>
      <c r="J309" s="10"/>
      <c r="K309" s="11"/>
      <c r="L309" s="11"/>
      <c r="M309" s="11"/>
      <c r="N309" s="11"/>
      <c r="O309" s="11"/>
      <c r="P309" s="11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>
      <c r="A310" s="6"/>
      <c r="B310" s="35"/>
      <c r="C310" s="6"/>
      <c r="D310" s="6"/>
      <c r="E310" s="6"/>
      <c r="F310" s="9"/>
      <c r="G310" s="9"/>
      <c r="H310" s="10"/>
      <c r="I310" s="10"/>
      <c r="J310" s="10"/>
      <c r="K310" s="11"/>
      <c r="L310" s="11"/>
      <c r="M310" s="11"/>
      <c r="N310" s="11"/>
      <c r="O310" s="11"/>
      <c r="P310" s="11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>
      <c r="A311" s="6"/>
      <c r="B311" s="35"/>
      <c r="C311" s="6"/>
      <c r="D311" s="6"/>
      <c r="E311" s="6"/>
      <c r="F311" s="9"/>
      <c r="G311" s="9"/>
      <c r="H311" s="10"/>
      <c r="I311" s="10"/>
      <c r="J311" s="10"/>
      <c r="K311" s="11"/>
      <c r="L311" s="11"/>
      <c r="M311" s="11"/>
      <c r="N311" s="11"/>
      <c r="O311" s="11"/>
      <c r="P311" s="11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>
      <c r="A312" s="6"/>
      <c r="B312" s="35"/>
      <c r="C312" s="6"/>
      <c r="D312" s="6"/>
      <c r="E312" s="6"/>
      <c r="F312" s="9"/>
      <c r="G312" s="9"/>
      <c r="H312" s="10"/>
      <c r="I312" s="10"/>
      <c r="J312" s="10"/>
      <c r="K312" s="11"/>
      <c r="L312" s="11"/>
      <c r="M312" s="11"/>
      <c r="N312" s="11"/>
      <c r="O312" s="11"/>
      <c r="P312" s="11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>
      <c r="A313" s="6"/>
      <c r="B313" s="35"/>
      <c r="C313" s="6"/>
      <c r="D313" s="6"/>
      <c r="E313" s="6"/>
      <c r="F313" s="9"/>
      <c r="G313" s="9"/>
      <c r="H313" s="10"/>
      <c r="I313" s="10"/>
      <c r="J313" s="10"/>
      <c r="K313" s="11"/>
      <c r="L313" s="11"/>
      <c r="M313" s="11"/>
      <c r="N313" s="11"/>
      <c r="O313" s="11"/>
      <c r="P313" s="11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>
      <c r="A314" s="6"/>
      <c r="B314" s="35"/>
      <c r="C314" s="6"/>
      <c r="D314" s="6"/>
      <c r="E314" s="6"/>
      <c r="F314" s="9"/>
      <c r="G314" s="9"/>
      <c r="H314" s="10"/>
      <c r="I314" s="10"/>
      <c r="J314" s="10"/>
      <c r="K314" s="11"/>
      <c r="L314" s="11"/>
      <c r="M314" s="11"/>
      <c r="N314" s="11"/>
      <c r="O314" s="11"/>
      <c r="P314" s="11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>
      <c r="A315" s="6"/>
      <c r="B315" s="35"/>
      <c r="C315" s="6"/>
      <c r="D315" s="6"/>
      <c r="E315" s="6"/>
      <c r="F315" s="9"/>
      <c r="G315" s="9"/>
      <c r="H315" s="10"/>
      <c r="I315" s="10"/>
      <c r="J315" s="10"/>
      <c r="K315" s="11"/>
      <c r="L315" s="11"/>
      <c r="M315" s="11"/>
      <c r="N315" s="11"/>
      <c r="O315" s="11"/>
      <c r="P315" s="11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>
      <c r="A316" s="6"/>
      <c r="B316" s="35"/>
      <c r="C316" s="6"/>
      <c r="D316" s="6"/>
      <c r="E316" s="6"/>
      <c r="F316" s="9"/>
      <c r="G316" s="9"/>
      <c r="H316" s="10"/>
      <c r="I316" s="10"/>
      <c r="J316" s="10"/>
      <c r="K316" s="11"/>
      <c r="L316" s="11"/>
      <c r="M316" s="11"/>
      <c r="N316" s="11"/>
      <c r="O316" s="11"/>
      <c r="P316" s="11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>
      <c r="A317" s="51"/>
      <c r="B317" s="51"/>
      <c r="C317" s="52"/>
      <c r="D317" s="51"/>
      <c r="E317" s="53"/>
      <c r="F317" s="54"/>
      <c r="G317" s="54"/>
      <c r="H317" s="55"/>
      <c r="I317" s="55"/>
      <c r="J317" s="55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>
      <c r="A318" s="51"/>
      <c r="B318" s="56"/>
      <c r="C318" s="52"/>
      <c r="D318" s="51"/>
      <c r="E318" s="53"/>
      <c r="F318" s="57"/>
      <c r="G318" s="57"/>
      <c r="H318" s="55"/>
      <c r="I318" s="55"/>
      <c r="J318" s="55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>
      <c r="A319" s="51"/>
      <c r="B319" s="51"/>
      <c r="C319" s="52"/>
      <c r="D319" s="51"/>
      <c r="E319" s="53"/>
      <c r="F319" s="54"/>
      <c r="G319" s="54"/>
      <c r="H319" s="55"/>
      <c r="I319" s="55"/>
      <c r="J319" s="55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>
      <c r="A320" s="51"/>
      <c r="B320" s="51"/>
      <c r="C320" s="52"/>
      <c r="D320" s="51"/>
      <c r="E320" s="53"/>
      <c r="F320" s="54"/>
      <c r="G320" s="54"/>
      <c r="H320" s="55"/>
      <c r="I320" s="55"/>
      <c r="J320" s="55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>
      <c r="A321" s="51"/>
      <c r="B321" s="51"/>
      <c r="C321" s="52"/>
      <c r="D321" s="51"/>
      <c r="E321" s="53"/>
      <c r="F321" s="54"/>
      <c r="G321" s="54"/>
      <c r="H321" s="55"/>
      <c r="I321" s="55"/>
      <c r="J321" s="55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>
      <c r="A322" s="51"/>
      <c r="B322" s="51"/>
      <c r="C322" s="52"/>
      <c r="D322" s="51"/>
      <c r="E322" s="53"/>
      <c r="F322" s="57"/>
      <c r="G322" s="57"/>
      <c r="H322" s="55"/>
      <c r="I322" s="55"/>
      <c r="J322" s="55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>
      <c r="A323" s="51"/>
      <c r="B323" s="51"/>
      <c r="C323" s="52"/>
      <c r="D323" s="51"/>
      <c r="E323" s="53"/>
      <c r="F323" s="54"/>
      <c r="G323" s="54"/>
      <c r="H323" s="55"/>
      <c r="I323" s="55"/>
      <c r="J323" s="55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>
      <c r="A324" s="51"/>
      <c r="B324" s="51"/>
      <c r="C324" s="52"/>
      <c r="D324" s="51"/>
      <c r="E324" s="53"/>
      <c r="F324" s="54"/>
      <c r="G324" s="54"/>
      <c r="H324" s="55"/>
      <c r="I324" s="55"/>
      <c r="J324" s="55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>
      <c r="A325" s="51"/>
      <c r="B325" s="51"/>
      <c r="C325" s="52"/>
      <c r="D325" s="51"/>
      <c r="E325" s="53"/>
      <c r="F325" s="54"/>
      <c r="G325" s="54"/>
      <c r="H325" s="55"/>
      <c r="I325" s="55"/>
      <c r="J325" s="55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>
      <c r="A326" s="51"/>
      <c r="B326" s="56"/>
      <c r="C326" s="52"/>
      <c r="D326" s="51"/>
      <c r="E326" s="53"/>
      <c r="F326" s="57"/>
      <c r="G326" s="57"/>
      <c r="H326" s="55"/>
      <c r="I326" s="55"/>
      <c r="J326" s="55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>
      <c r="A327" s="51"/>
      <c r="B327" s="51"/>
      <c r="C327" s="52"/>
      <c r="D327" s="51"/>
      <c r="E327" s="53"/>
      <c r="F327" s="54"/>
      <c r="G327" s="54"/>
      <c r="H327" s="55"/>
      <c r="I327" s="55"/>
      <c r="J327" s="55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>
      <c r="A328" s="51"/>
      <c r="B328" s="51"/>
      <c r="C328" s="51"/>
      <c r="D328" s="51"/>
      <c r="E328" s="51"/>
      <c r="F328" s="54"/>
      <c r="G328" s="54"/>
      <c r="H328" s="55"/>
      <c r="I328" s="55"/>
      <c r="J328" s="55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>
      <c r="A329" s="51"/>
      <c r="B329" s="51"/>
      <c r="C329" s="52"/>
      <c r="D329" s="51"/>
      <c r="E329" s="51"/>
      <c r="F329" s="54"/>
      <c r="G329" s="54"/>
      <c r="H329" s="55"/>
      <c r="I329" s="55"/>
      <c r="J329" s="55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>
      <c r="A330" s="51"/>
      <c r="B330" s="56"/>
      <c r="C330" s="52"/>
      <c r="D330" s="51"/>
      <c r="E330" s="51"/>
      <c r="F330" s="54"/>
      <c r="G330" s="54"/>
      <c r="H330" s="55"/>
      <c r="I330" s="55"/>
      <c r="J330" s="55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>
      <c r="A331" s="51"/>
      <c r="B331" s="51"/>
      <c r="C331" s="52"/>
      <c r="D331" s="51"/>
      <c r="E331" s="51"/>
      <c r="F331" s="54"/>
      <c r="G331" s="54"/>
      <c r="H331" s="55"/>
      <c r="I331" s="55"/>
      <c r="J331" s="55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>
      <c r="A332" s="51"/>
      <c r="B332" s="51"/>
      <c r="C332" s="52"/>
      <c r="D332" s="51"/>
      <c r="E332" s="51"/>
      <c r="F332" s="54"/>
      <c r="G332" s="54"/>
      <c r="H332" s="55"/>
      <c r="I332" s="55"/>
      <c r="J332" s="55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>
      <c r="A333" s="51"/>
      <c r="B333" s="56"/>
      <c r="C333" s="52"/>
      <c r="D333" s="51"/>
      <c r="E333" s="51"/>
      <c r="F333" s="54"/>
      <c r="G333" s="54"/>
      <c r="H333" s="55"/>
      <c r="I333" s="55"/>
      <c r="J333" s="55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>
      <c r="A334" s="51"/>
      <c r="B334" s="56"/>
      <c r="C334" s="52"/>
      <c r="D334" s="51"/>
      <c r="E334" s="51"/>
      <c r="F334" s="54"/>
      <c r="G334" s="54"/>
      <c r="H334" s="55"/>
      <c r="I334" s="55"/>
      <c r="J334" s="55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>
      <c r="A335" s="51"/>
      <c r="B335" s="51"/>
      <c r="C335" s="52"/>
      <c r="D335" s="51"/>
      <c r="E335" s="51"/>
      <c r="F335" s="54"/>
      <c r="G335" s="54"/>
      <c r="H335" s="55"/>
      <c r="I335" s="55"/>
      <c r="J335" s="55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>
      <c r="A336" s="51"/>
      <c r="B336" s="51"/>
      <c r="C336" s="52"/>
      <c r="D336" s="51"/>
      <c r="E336" s="51"/>
      <c r="F336" s="54"/>
      <c r="G336" s="54"/>
      <c r="H336" s="55"/>
      <c r="I336" s="55"/>
      <c r="J336" s="55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>
      <c r="A337" s="51"/>
      <c r="B337" s="56"/>
      <c r="C337" s="52"/>
      <c r="D337" s="51"/>
      <c r="E337" s="51"/>
      <c r="F337" s="54"/>
      <c r="G337" s="54"/>
      <c r="H337" s="55"/>
      <c r="I337" s="55"/>
      <c r="J337" s="55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>
      <c r="A338" s="51"/>
      <c r="B338" s="56"/>
      <c r="C338" s="52"/>
      <c r="D338" s="51"/>
      <c r="E338" s="51"/>
      <c r="F338" s="54"/>
      <c r="G338" s="54"/>
      <c r="H338" s="55"/>
      <c r="I338" s="55"/>
      <c r="J338" s="55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>
      <c r="A339" s="51"/>
      <c r="B339" s="51"/>
      <c r="C339" s="52"/>
      <c r="D339" s="51"/>
      <c r="E339" s="51"/>
      <c r="F339" s="54"/>
      <c r="G339" s="54"/>
      <c r="H339" s="55"/>
      <c r="I339" s="55"/>
      <c r="J339" s="55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>
      <c r="A340" s="51"/>
      <c r="B340" s="56"/>
      <c r="C340" s="52"/>
      <c r="D340" s="51"/>
      <c r="E340" s="51"/>
      <c r="F340" s="54"/>
      <c r="G340" s="54"/>
      <c r="H340" s="55"/>
      <c r="I340" s="55"/>
      <c r="J340" s="55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>
      <c r="A341" s="51"/>
      <c r="B341" s="56"/>
      <c r="C341" s="52"/>
      <c r="D341" s="51"/>
      <c r="E341" s="51"/>
      <c r="F341" s="54"/>
      <c r="G341" s="54"/>
      <c r="H341" s="55"/>
      <c r="I341" s="55"/>
      <c r="J341" s="55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>
      <c r="A342" s="51"/>
      <c r="B342" s="51"/>
      <c r="C342" s="52"/>
      <c r="D342" s="51"/>
      <c r="E342" s="51"/>
      <c r="F342" s="54"/>
      <c r="G342" s="54"/>
      <c r="H342" s="55"/>
      <c r="I342" s="55"/>
      <c r="J342" s="55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>
      <c r="A343" s="51"/>
      <c r="B343" s="56"/>
      <c r="C343" s="52"/>
      <c r="D343" s="51"/>
      <c r="E343" s="51"/>
      <c r="F343" s="54"/>
      <c r="G343" s="54"/>
      <c r="H343" s="55"/>
      <c r="I343" s="55"/>
      <c r="J343" s="55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>
      <c r="A344" s="51"/>
      <c r="B344" s="51"/>
      <c r="C344" s="52"/>
      <c r="D344" s="51"/>
      <c r="E344" s="51"/>
      <c r="F344" s="54"/>
      <c r="G344" s="54"/>
      <c r="H344" s="55"/>
      <c r="I344" s="55"/>
      <c r="J344" s="55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>
      <c r="A345" s="51"/>
      <c r="B345" s="56"/>
      <c r="C345" s="52"/>
      <c r="D345" s="51"/>
      <c r="E345" s="51"/>
      <c r="F345" s="54"/>
      <c r="G345" s="54"/>
      <c r="H345" s="55"/>
      <c r="I345" s="55"/>
      <c r="J345" s="55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>
      <c r="A346" s="51"/>
      <c r="B346" s="51"/>
      <c r="C346" s="52"/>
      <c r="D346" s="51"/>
      <c r="E346" s="51"/>
      <c r="F346" s="54"/>
      <c r="G346" s="54"/>
      <c r="H346" s="55"/>
      <c r="I346" s="55"/>
      <c r="J346" s="55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>
      <c r="A347" s="51"/>
      <c r="B347" s="56"/>
      <c r="C347" s="52"/>
      <c r="D347" s="51"/>
      <c r="E347" s="51"/>
      <c r="F347" s="54"/>
      <c r="G347" s="54"/>
      <c r="H347" s="55"/>
      <c r="I347" s="55"/>
      <c r="J347" s="55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>
      <c r="A348" s="51"/>
      <c r="B348" s="51"/>
      <c r="C348" s="52"/>
      <c r="D348" s="51"/>
      <c r="E348" s="51"/>
      <c r="F348" s="54"/>
      <c r="G348" s="54"/>
      <c r="H348" s="55"/>
      <c r="I348" s="55"/>
      <c r="J348" s="55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>
      <c r="A349" s="51"/>
      <c r="B349" s="56"/>
      <c r="C349" s="52"/>
      <c r="D349" s="51"/>
      <c r="E349" s="51"/>
      <c r="F349" s="54"/>
      <c r="G349" s="54"/>
      <c r="H349" s="55"/>
      <c r="I349" s="55"/>
      <c r="J349" s="55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>
      <c r="A350" s="51"/>
      <c r="B350" s="56"/>
      <c r="C350" s="52"/>
      <c r="D350" s="51"/>
      <c r="E350" s="51"/>
      <c r="F350" s="54"/>
      <c r="G350" s="54"/>
      <c r="H350" s="55"/>
      <c r="I350" s="55"/>
      <c r="J350" s="55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>
      <c r="A351" s="51"/>
      <c r="B351" s="56"/>
      <c r="C351" s="52"/>
      <c r="D351" s="51"/>
      <c r="E351" s="51"/>
      <c r="F351" s="54"/>
      <c r="G351" s="54"/>
      <c r="H351" s="55"/>
      <c r="I351" s="55"/>
      <c r="J351" s="55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>
      <c r="A352" s="51"/>
      <c r="B352" s="56"/>
      <c r="C352" s="52"/>
      <c r="D352" s="51"/>
      <c r="E352" s="51"/>
      <c r="F352" s="54"/>
      <c r="G352" s="54"/>
      <c r="H352" s="55"/>
      <c r="I352" s="55"/>
      <c r="J352" s="55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>
      <c r="A353" s="51"/>
      <c r="B353" s="56"/>
      <c r="C353" s="52"/>
      <c r="D353" s="51"/>
      <c r="E353" s="51"/>
      <c r="F353" s="54"/>
      <c r="G353" s="54"/>
      <c r="H353" s="55"/>
      <c r="I353" s="55"/>
      <c r="J353" s="55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>
      <c r="A354" s="51"/>
      <c r="B354" s="56"/>
      <c r="C354" s="52"/>
      <c r="D354" s="51"/>
      <c r="E354" s="51"/>
      <c r="F354" s="54"/>
      <c r="G354" s="54"/>
      <c r="H354" s="55"/>
      <c r="I354" s="55"/>
      <c r="J354" s="55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>
      <c r="A355" s="51"/>
      <c r="B355" s="51"/>
      <c r="C355" s="52"/>
      <c r="D355" s="51"/>
      <c r="E355" s="51"/>
      <c r="F355" s="54"/>
      <c r="G355" s="54"/>
      <c r="H355" s="55"/>
      <c r="I355" s="55"/>
      <c r="J355" s="55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>
      <c r="A356" s="12"/>
      <c r="B356" s="12"/>
      <c r="C356" s="12"/>
      <c r="D356" s="12"/>
      <c r="E356" s="12"/>
      <c r="F356" s="55"/>
      <c r="G356" s="55"/>
      <c r="H356" s="55"/>
      <c r="I356" s="55"/>
      <c r="J356" s="55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>
      <c r="A357" s="12"/>
      <c r="B357" s="12"/>
      <c r="C357" s="12"/>
      <c r="D357" s="12"/>
      <c r="E357" s="12"/>
      <c r="F357" s="55"/>
      <c r="G357" s="55"/>
      <c r="H357" s="55"/>
      <c r="I357" s="55"/>
      <c r="J357" s="55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>
      <c r="A358" s="12"/>
      <c r="B358" s="12"/>
      <c r="C358" s="12"/>
      <c r="D358" s="12"/>
      <c r="E358" s="12"/>
      <c r="F358" s="55"/>
      <c r="G358" s="55"/>
      <c r="H358" s="55"/>
      <c r="I358" s="55"/>
      <c r="J358" s="55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>
      <c r="A359" s="12"/>
      <c r="B359" s="12"/>
      <c r="C359" s="12"/>
      <c r="D359" s="12"/>
      <c r="E359" s="12"/>
      <c r="F359" s="55"/>
      <c r="G359" s="55"/>
      <c r="H359" s="55"/>
      <c r="I359" s="55"/>
      <c r="J359" s="55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>
      <c r="A360" s="12"/>
      <c r="B360" s="12"/>
      <c r="C360" s="12"/>
      <c r="D360" s="12"/>
      <c r="E360" s="12"/>
      <c r="F360" s="55"/>
      <c r="G360" s="55"/>
      <c r="H360" s="55"/>
      <c r="I360" s="55"/>
      <c r="J360" s="55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>
      <c r="A361" s="12"/>
      <c r="B361" s="12"/>
      <c r="C361" s="12"/>
      <c r="D361" s="12"/>
      <c r="E361" s="12"/>
      <c r="F361" s="55"/>
      <c r="G361" s="55"/>
      <c r="H361" s="55"/>
      <c r="I361" s="55"/>
      <c r="J361" s="55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>
      <c r="A362" s="12"/>
      <c r="B362" s="12"/>
      <c r="C362" s="12"/>
      <c r="D362" s="12"/>
      <c r="E362" s="12"/>
      <c r="F362" s="55"/>
      <c r="G362" s="55"/>
      <c r="H362" s="55"/>
      <c r="I362" s="55"/>
      <c r="J362" s="55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>
      <c r="A363" s="12"/>
      <c r="B363" s="12"/>
      <c r="C363" s="12"/>
      <c r="D363" s="12"/>
      <c r="E363" s="12"/>
      <c r="F363" s="55"/>
      <c r="G363" s="55"/>
      <c r="H363" s="55"/>
      <c r="I363" s="55"/>
      <c r="J363" s="55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>
      <c r="A364" s="12"/>
      <c r="B364" s="12"/>
      <c r="C364" s="12"/>
      <c r="D364" s="12"/>
      <c r="E364" s="12"/>
      <c r="F364" s="55"/>
      <c r="G364" s="55"/>
      <c r="H364" s="55"/>
      <c r="I364" s="55"/>
      <c r="J364" s="55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>
      <c r="A365" s="12"/>
      <c r="B365" s="12"/>
      <c r="C365" s="12"/>
      <c r="D365" s="12"/>
      <c r="E365" s="12"/>
      <c r="F365" s="55"/>
      <c r="G365" s="55"/>
      <c r="H365" s="55"/>
      <c r="I365" s="55"/>
      <c r="J365" s="55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>
      <c r="A366" s="12"/>
      <c r="B366" s="12"/>
      <c r="C366" s="12"/>
      <c r="D366" s="12"/>
      <c r="E366" s="12"/>
      <c r="F366" s="55"/>
      <c r="G366" s="55"/>
      <c r="H366" s="55"/>
      <c r="I366" s="55"/>
      <c r="J366" s="55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>
      <c r="A367" s="12"/>
      <c r="B367" s="12"/>
      <c r="C367" s="12"/>
      <c r="D367" s="12"/>
      <c r="E367" s="12"/>
      <c r="F367" s="55"/>
      <c r="G367" s="55"/>
      <c r="H367" s="55"/>
      <c r="I367" s="55"/>
      <c r="J367" s="55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>
      <c r="A368" s="12"/>
      <c r="B368" s="12"/>
      <c r="C368" s="12"/>
      <c r="D368" s="12"/>
      <c r="E368" s="12"/>
      <c r="F368" s="55"/>
      <c r="G368" s="55"/>
      <c r="H368" s="55"/>
      <c r="I368" s="55"/>
      <c r="J368" s="55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>
      <c r="A369" s="12"/>
      <c r="B369" s="12"/>
      <c r="C369" s="12"/>
      <c r="D369" s="12"/>
      <c r="E369" s="12"/>
      <c r="F369" s="55"/>
      <c r="G369" s="55"/>
      <c r="H369" s="55"/>
      <c r="I369" s="55"/>
      <c r="J369" s="55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>
      <c r="A370" s="12"/>
      <c r="B370" s="12"/>
      <c r="C370" s="12"/>
      <c r="D370" s="12"/>
      <c r="E370" s="12"/>
      <c r="F370" s="55"/>
      <c r="G370" s="55"/>
      <c r="H370" s="55"/>
      <c r="I370" s="55"/>
      <c r="J370" s="55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>
      <c r="A371" s="12"/>
      <c r="B371" s="12"/>
      <c r="C371" s="12"/>
      <c r="D371" s="12"/>
      <c r="E371" s="12"/>
      <c r="F371" s="55"/>
      <c r="G371" s="55"/>
      <c r="H371" s="55"/>
      <c r="I371" s="55"/>
      <c r="J371" s="55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>
      <c r="A372" s="12"/>
      <c r="B372" s="12"/>
      <c r="C372" s="12"/>
      <c r="D372" s="12"/>
      <c r="E372" s="12"/>
      <c r="F372" s="55"/>
      <c r="G372" s="55"/>
      <c r="H372" s="55"/>
      <c r="I372" s="55"/>
      <c r="J372" s="55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>
      <c r="A373" s="12"/>
      <c r="B373" s="12"/>
      <c r="C373" s="12"/>
      <c r="D373" s="12"/>
      <c r="E373" s="12"/>
      <c r="F373" s="55"/>
      <c r="G373" s="55"/>
      <c r="H373" s="55"/>
      <c r="I373" s="55"/>
      <c r="J373" s="55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>
      <c r="A374" s="12"/>
      <c r="B374" s="12"/>
      <c r="C374" s="12"/>
      <c r="D374" s="12"/>
      <c r="E374" s="12"/>
      <c r="F374" s="55"/>
      <c r="G374" s="55"/>
      <c r="H374" s="55"/>
      <c r="I374" s="55"/>
      <c r="J374" s="55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>
      <c r="A375" s="12"/>
      <c r="B375" s="12"/>
      <c r="C375" s="12"/>
      <c r="D375" s="12"/>
      <c r="E375" s="12"/>
      <c r="F375" s="55"/>
      <c r="G375" s="55"/>
      <c r="H375" s="55"/>
      <c r="I375" s="55"/>
      <c r="J375" s="55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>
      <c r="A376" s="12"/>
      <c r="B376" s="12"/>
      <c r="C376" s="12"/>
      <c r="D376" s="12"/>
      <c r="E376" s="12"/>
      <c r="F376" s="55"/>
      <c r="G376" s="55"/>
      <c r="H376" s="55"/>
      <c r="I376" s="55"/>
      <c r="J376" s="55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>
      <c r="A377" s="12"/>
      <c r="B377" s="12"/>
      <c r="C377" s="12"/>
      <c r="D377" s="12"/>
      <c r="E377" s="12"/>
      <c r="F377" s="55"/>
      <c r="G377" s="55"/>
      <c r="H377" s="55"/>
      <c r="I377" s="55"/>
      <c r="J377" s="55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>
      <c r="A378" s="12"/>
      <c r="B378" s="12"/>
      <c r="C378" s="12"/>
      <c r="D378" s="12"/>
      <c r="E378" s="12"/>
      <c r="F378" s="55"/>
      <c r="G378" s="55"/>
      <c r="H378" s="55"/>
      <c r="I378" s="55"/>
      <c r="J378" s="55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>
      <c r="A379" s="12"/>
      <c r="B379" s="12"/>
      <c r="C379" s="12"/>
      <c r="D379" s="12"/>
      <c r="E379" s="12"/>
      <c r="F379" s="55"/>
      <c r="G379" s="55"/>
      <c r="H379" s="55"/>
      <c r="I379" s="55"/>
      <c r="J379" s="55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>
      <c r="A380" s="12"/>
      <c r="B380" s="12"/>
      <c r="C380" s="12"/>
      <c r="D380" s="12"/>
      <c r="E380" s="12"/>
      <c r="F380" s="55"/>
      <c r="G380" s="55"/>
      <c r="H380" s="55"/>
      <c r="I380" s="55"/>
      <c r="J380" s="55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>
      <c r="A381" s="12"/>
      <c r="B381" s="12"/>
      <c r="C381" s="12"/>
      <c r="D381" s="12"/>
      <c r="E381" s="12"/>
      <c r="F381" s="55"/>
      <c r="G381" s="55"/>
      <c r="H381" s="55"/>
      <c r="I381" s="55"/>
      <c r="J381" s="55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>
      <c r="A382" s="12"/>
      <c r="B382" s="12"/>
      <c r="C382" s="12"/>
      <c r="D382" s="12"/>
      <c r="E382" s="12"/>
      <c r="F382" s="55"/>
      <c r="G382" s="55"/>
      <c r="H382" s="55"/>
      <c r="I382" s="55"/>
      <c r="J382" s="55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>
      <c r="A383" s="12"/>
      <c r="B383" s="12"/>
      <c r="C383" s="12"/>
      <c r="D383" s="12"/>
      <c r="E383" s="12"/>
      <c r="F383" s="55"/>
      <c r="G383" s="55"/>
      <c r="H383" s="55"/>
      <c r="I383" s="55"/>
      <c r="J383" s="55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>
      <c r="A384" s="12"/>
      <c r="B384" s="12"/>
      <c r="C384" s="12"/>
      <c r="D384" s="12"/>
      <c r="E384" s="12"/>
      <c r="F384" s="55"/>
      <c r="G384" s="55"/>
      <c r="H384" s="55"/>
      <c r="I384" s="55"/>
      <c r="J384" s="55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>
      <c r="A385" s="12"/>
      <c r="B385" s="12"/>
      <c r="C385" s="12"/>
      <c r="D385" s="12"/>
      <c r="E385" s="12"/>
      <c r="F385" s="55"/>
      <c r="G385" s="55"/>
      <c r="H385" s="55"/>
      <c r="I385" s="55"/>
      <c r="J385" s="55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>
      <c r="A386" s="12"/>
      <c r="B386" s="12"/>
      <c r="C386" s="12"/>
      <c r="D386" s="12"/>
      <c r="E386" s="12"/>
      <c r="F386" s="55"/>
      <c r="G386" s="55"/>
      <c r="H386" s="55"/>
      <c r="I386" s="55"/>
      <c r="J386" s="55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>
      <c r="A387" s="12"/>
      <c r="B387" s="12"/>
      <c r="C387" s="12"/>
      <c r="D387" s="12"/>
      <c r="E387" s="12"/>
      <c r="F387" s="55"/>
      <c r="G387" s="55"/>
      <c r="H387" s="55"/>
      <c r="I387" s="55"/>
      <c r="J387" s="55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>
      <c r="A388" s="12"/>
      <c r="B388" s="12"/>
      <c r="C388" s="12"/>
      <c r="D388" s="12"/>
      <c r="E388" s="12"/>
      <c r="F388" s="55"/>
      <c r="G388" s="55"/>
      <c r="H388" s="55"/>
      <c r="I388" s="55"/>
      <c r="J388" s="55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>
      <c r="A389" s="12"/>
      <c r="B389" s="12"/>
      <c r="C389" s="12"/>
      <c r="D389" s="12"/>
      <c r="E389" s="12"/>
      <c r="F389" s="55"/>
      <c r="G389" s="55"/>
      <c r="H389" s="55"/>
      <c r="I389" s="55"/>
      <c r="J389" s="55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>
      <c r="A390" s="12"/>
      <c r="B390" s="12"/>
      <c r="C390" s="12"/>
      <c r="D390" s="12"/>
      <c r="E390" s="12"/>
      <c r="F390" s="55"/>
      <c r="G390" s="55"/>
      <c r="H390" s="55"/>
      <c r="I390" s="55"/>
      <c r="J390" s="55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>
      <c r="A391" s="12"/>
      <c r="B391" s="12"/>
      <c r="C391" s="12"/>
      <c r="D391" s="12"/>
      <c r="E391" s="12"/>
      <c r="F391" s="55"/>
      <c r="G391" s="55"/>
      <c r="H391" s="55"/>
      <c r="I391" s="55"/>
      <c r="J391" s="55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>
      <c r="A392" s="12"/>
      <c r="B392" s="12"/>
      <c r="C392" s="12"/>
      <c r="D392" s="12"/>
      <c r="E392" s="12"/>
      <c r="F392" s="55"/>
      <c r="G392" s="55"/>
      <c r="H392" s="55"/>
      <c r="I392" s="55"/>
      <c r="J392" s="55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>
      <c r="A393" s="12"/>
      <c r="B393" s="12"/>
      <c r="C393" s="12"/>
      <c r="D393" s="12"/>
      <c r="E393" s="12"/>
      <c r="F393" s="55"/>
      <c r="G393" s="55"/>
      <c r="H393" s="55"/>
      <c r="I393" s="55"/>
      <c r="J393" s="55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>
      <c r="A394" s="12"/>
      <c r="B394" s="12"/>
      <c r="C394" s="12"/>
      <c r="D394" s="12"/>
      <c r="E394" s="12"/>
      <c r="F394" s="55"/>
      <c r="G394" s="55"/>
      <c r="H394" s="55"/>
      <c r="I394" s="55"/>
      <c r="J394" s="55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>
      <c r="A395" s="12"/>
      <c r="B395" s="12"/>
      <c r="C395" s="12"/>
      <c r="D395" s="12"/>
      <c r="E395" s="12"/>
      <c r="F395" s="55"/>
      <c r="G395" s="55"/>
      <c r="H395" s="55"/>
      <c r="I395" s="55"/>
      <c r="J395" s="55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>
      <c r="A396" s="12"/>
      <c r="B396" s="12"/>
      <c r="C396" s="12"/>
      <c r="D396" s="12"/>
      <c r="E396" s="12"/>
      <c r="F396" s="55"/>
      <c r="G396" s="55"/>
      <c r="H396" s="55"/>
      <c r="I396" s="55"/>
      <c r="J396" s="55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>
      <c r="A397" s="12"/>
      <c r="B397" s="12"/>
      <c r="C397" s="12"/>
      <c r="D397" s="12"/>
      <c r="E397" s="12"/>
      <c r="F397" s="55"/>
      <c r="G397" s="55"/>
      <c r="H397" s="55"/>
      <c r="I397" s="55"/>
      <c r="J397" s="55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>
      <c r="A398" s="12"/>
      <c r="B398" s="12"/>
      <c r="C398" s="12"/>
      <c r="D398" s="12"/>
      <c r="E398" s="12"/>
      <c r="F398" s="55"/>
      <c r="G398" s="55"/>
      <c r="H398" s="55"/>
      <c r="I398" s="55"/>
      <c r="J398" s="55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>
      <c r="A399" s="12"/>
      <c r="B399" s="12"/>
      <c r="C399" s="12"/>
      <c r="D399" s="12"/>
      <c r="E399" s="12"/>
      <c r="F399" s="55"/>
      <c r="G399" s="55"/>
      <c r="H399" s="55"/>
      <c r="I399" s="55"/>
      <c r="J399" s="55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>
      <c r="A400" s="12"/>
      <c r="B400" s="12"/>
      <c r="C400" s="12"/>
      <c r="D400" s="12"/>
      <c r="E400" s="12"/>
      <c r="F400" s="55"/>
      <c r="G400" s="55"/>
      <c r="H400" s="55"/>
      <c r="I400" s="55"/>
      <c r="J400" s="55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>
      <c r="A401" s="12"/>
      <c r="B401" s="12"/>
      <c r="C401" s="12"/>
      <c r="D401" s="12"/>
      <c r="E401" s="12"/>
      <c r="F401" s="55"/>
      <c r="G401" s="55"/>
      <c r="H401" s="55"/>
      <c r="I401" s="55"/>
      <c r="J401" s="55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>
      <c r="A402" s="12"/>
      <c r="B402" s="12"/>
      <c r="C402" s="12"/>
      <c r="D402" s="12"/>
      <c r="E402" s="12"/>
      <c r="F402" s="55"/>
      <c r="G402" s="55"/>
      <c r="H402" s="55"/>
      <c r="I402" s="55"/>
      <c r="J402" s="55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>
      <c r="A403" s="12"/>
      <c r="B403" s="12"/>
      <c r="C403" s="12"/>
      <c r="D403" s="12"/>
      <c r="E403" s="12"/>
      <c r="F403" s="55"/>
      <c r="G403" s="55"/>
      <c r="H403" s="55"/>
      <c r="I403" s="55"/>
      <c r="J403" s="55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>
      <c r="A404" s="12"/>
      <c r="B404" s="12"/>
      <c r="C404" s="12"/>
      <c r="D404" s="12"/>
      <c r="E404" s="12"/>
      <c r="F404" s="55"/>
      <c r="G404" s="55"/>
      <c r="H404" s="55"/>
      <c r="I404" s="55"/>
      <c r="J404" s="55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>
      <c r="A405" s="12"/>
      <c r="B405" s="12"/>
      <c r="C405" s="12"/>
      <c r="D405" s="12"/>
      <c r="E405" s="12"/>
      <c r="F405" s="55"/>
      <c r="G405" s="55"/>
      <c r="H405" s="55"/>
      <c r="I405" s="55"/>
      <c r="J405" s="55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>
      <c r="A406" s="12"/>
      <c r="B406" s="12"/>
      <c r="C406" s="12"/>
      <c r="D406" s="12"/>
      <c r="E406" s="12"/>
      <c r="F406" s="55"/>
      <c r="G406" s="55"/>
      <c r="H406" s="55"/>
      <c r="I406" s="55"/>
      <c r="J406" s="55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>
      <c r="A407" s="12"/>
      <c r="B407" s="12"/>
      <c r="C407" s="12"/>
      <c r="D407" s="12"/>
      <c r="E407" s="12"/>
      <c r="F407" s="55"/>
      <c r="G407" s="55"/>
      <c r="H407" s="55"/>
      <c r="I407" s="55"/>
      <c r="J407" s="55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>
      <c r="A408" s="12"/>
      <c r="B408" s="12"/>
      <c r="C408" s="12"/>
      <c r="D408" s="12"/>
      <c r="E408" s="12"/>
      <c r="F408" s="55"/>
      <c r="G408" s="55"/>
      <c r="H408" s="55"/>
      <c r="I408" s="55"/>
      <c r="J408" s="55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>
      <c r="A409" s="12"/>
      <c r="B409" s="12"/>
      <c r="C409" s="12"/>
      <c r="D409" s="12"/>
      <c r="E409" s="12"/>
      <c r="F409" s="55"/>
      <c r="G409" s="55"/>
      <c r="H409" s="55"/>
      <c r="I409" s="55"/>
      <c r="J409" s="55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>
      <c r="A410" s="12"/>
      <c r="B410" s="12"/>
      <c r="C410" s="12"/>
      <c r="D410" s="12"/>
      <c r="E410" s="12"/>
      <c r="F410" s="55"/>
      <c r="G410" s="55"/>
      <c r="H410" s="55"/>
      <c r="I410" s="55"/>
      <c r="J410" s="55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>
      <c r="A411" s="12"/>
      <c r="B411" s="12"/>
      <c r="C411" s="12"/>
      <c r="D411" s="12"/>
      <c r="E411" s="12"/>
      <c r="F411" s="55"/>
      <c r="G411" s="55"/>
      <c r="H411" s="55"/>
      <c r="I411" s="55"/>
      <c r="J411" s="55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>
      <c r="A412" s="12"/>
      <c r="B412" s="12"/>
      <c r="C412" s="12"/>
      <c r="D412" s="12"/>
      <c r="E412" s="12"/>
      <c r="F412" s="55"/>
      <c r="G412" s="55"/>
      <c r="H412" s="55"/>
      <c r="I412" s="55"/>
      <c r="J412" s="55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>
      <c r="A413" s="12"/>
      <c r="B413" s="12"/>
      <c r="C413" s="12"/>
      <c r="D413" s="12"/>
      <c r="E413" s="12"/>
      <c r="F413" s="55"/>
      <c r="G413" s="55"/>
      <c r="H413" s="55"/>
      <c r="I413" s="55"/>
      <c r="J413" s="55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>
      <c r="A414" s="12"/>
      <c r="B414" s="12"/>
      <c r="C414" s="12"/>
      <c r="D414" s="12"/>
      <c r="E414" s="12"/>
      <c r="F414" s="55"/>
      <c r="G414" s="55"/>
      <c r="H414" s="55"/>
      <c r="I414" s="55"/>
      <c r="J414" s="55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>
      <c r="A415" s="12"/>
      <c r="B415" s="12"/>
      <c r="C415" s="12"/>
      <c r="D415" s="12"/>
      <c r="E415" s="12"/>
      <c r="F415" s="55"/>
      <c r="G415" s="55"/>
      <c r="H415" s="55"/>
      <c r="I415" s="55"/>
      <c r="J415" s="55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>
      <c r="A416" s="12"/>
      <c r="B416" s="12"/>
      <c r="C416" s="12"/>
      <c r="D416" s="12"/>
      <c r="E416" s="12"/>
      <c r="F416" s="55"/>
      <c r="G416" s="55"/>
      <c r="H416" s="55"/>
      <c r="I416" s="55"/>
      <c r="J416" s="55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>
      <c r="A417" s="12"/>
      <c r="B417" s="12"/>
      <c r="C417" s="12"/>
      <c r="D417" s="12"/>
      <c r="E417" s="12"/>
      <c r="F417" s="55"/>
      <c r="G417" s="55"/>
      <c r="H417" s="55"/>
      <c r="I417" s="55"/>
      <c r="J417" s="55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12"/>
      <c r="B418" s="12"/>
      <c r="C418" s="12"/>
      <c r="D418" s="12"/>
      <c r="E418" s="12"/>
      <c r="F418" s="55"/>
      <c r="G418" s="55"/>
      <c r="H418" s="55"/>
      <c r="I418" s="55"/>
      <c r="J418" s="55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>
      <c r="A419" s="12"/>
      <c r="B419" s="12"/>
      <c r="C419" s="12"/>
      <c r="D419" s="12"/>
      <c r="E419" s="12"/>
      <c r="F419" s="55"/>
      <c r="G419" s="55"/>
      <c r="H419" s="55"/>
      <c r="I419" s="55"/>
      <c r="J419" s="55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>
      <c r="A420" s="12"/>
      <c r="B420" s="12"/>
      <c r="C420" s="12"/>
      <c r="D420" s="12"/>
      <c r="E420" s="12"/>
      <c r="F420" s="55"/>
      <c r="G420" s="55"/>
      <c r="H420" s="55"/>
      <c r="I420" s="55"/>
      <c r="J420" s="55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>
      <c r="A421" s="12"/>
      <c r="B421" s="12"/>
      <c r="C421" s="12"/>
      <c r="D421" s="12"/>
      <c r="E421" s="12"/>
      <c r="F421" s="55"/>
      <c r="G421" s="55"/>
      <c r="H421" s="55"/>
      <c r="I421" s="55"/>
      <c r="J421" s="55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>
      <c r="A422" s="12"/>
      <c r="B422" s="12"/>
      <c r="C422" s="12"/>
      <c r="D422" s="12"/>
      <c r="E422" s="12"/>
      <c r="F422" s="55"/>
      <c r="G422" s="55"/>
      <c r="H422" s="55"/>
      <c r="I422" s="55"/>
      <c r="J422" s="55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>
      <c r="A423" s="12"/>
      <c r="B423" s="12"/>
      <c r="C423" s="12"/>
      <c r="D423" s="12"/>
      <c r="E423" s="12"/>
      <c r="F423" s="55"/>
      <c r="G423" s="55"/>
      <c r="H423" s="55"/>
      <c r="I423" s="55"/>
      <c r="J423" s="55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>
      <c r="A424" s="12"/>
      <c r="B424" s="12"/>
      <c r="C424" s="12"/>
      <c r="D424" s="12"/>
      <c r="E424" s="12"/>
      <c r="F424" s="55"/>
      <c r="G424" s="55"/>
      <c r="H424" s="55"/>
      <c r="I424" s="55"/>
      <c r="J424" s="55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>
      <c r="A425" s="12"/>
      <c r="B425" s="12"/>
      <c r="C425" s="12"/>
      <c r="D425" s="12"/>
      <c r="E425" s="12"/>
      <c r="F425" s="55"/>
      <c r="G425" s="55"/>
      <c r="H425" s="55"/>
      <c r="I425" s="55"/>
      <c r="J425" s="55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>
      <c r="A426" s="12"/>
      <c r="B426" s="12"/>
      <c r="C426" s="12"/>
      <c r="D426" s="12"/>
      <c r="E426" s="12"/>
      <c r="F426" s="55"/>
      <c r="G426" s="55"/>
      <c r="H426" s="55"/>
      <c r="I426" s="55"/>
      <c r="J426" s="55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>
      <c r="A427" s="12"/>
      <c r="B427" s="12"/>
      <c r="C427" s="12"/>
      <c r="D427" s="12"/>
      <c r="E427" s="12"/>
      <c r="F427" s="55"/>
      <c r="G427" s="55"/>
      <c r="H427" s="55"/>
      <c r="I427" s="55"/>
      <c r="J427" s="55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>
      <c r="A428" s="12"/>
      <c r="B428" s="12"/>
      <c r="C428" s="12"/>
      <c r="D428" s="12"/>
      <c r="E428" s="12"/>
      <c r="F428" s="55"/>
      <c r="G428" s="55"/>
      <c r="H428" s="55"/>
      <c r="I428" s="55"/>
      <c r="J428" s="55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>
      <c r="A429" s="12"/>
      <c r="B429" s="12"/>
      <c r="C429" s="12"/>
      <c r="D429" s="12"/>
      <c r="E429" s="12"/>
      <c r="F429" s="55"/>
      <c r="G429" s="55"/>
      <c r="H429" s="55"/>
      <c r="I429" s="55"/>
      <c r="J429" s="55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>
      <c r="A430" s="12"/>
      <c r="B430" s="12"/>
      <c r="C430" s="12"/>
      <c r="D430" s="12"/>
      <c r="E430" s="12"/>
      <c r="F430" s="55"/>
      <c r="G430" s="55"/>
      <c r="H430" s="55"/>
      <c r="I430" s="55"/>
      <c r="J430" s="55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>
      <c r="A431" s="12"/>
      <c r="B431" s="12"/>
      <c r="C431" s="12"/>
      <c r="D431" s="12"/>
      <c r="E431" s="12"/>
      <c r="F431" s="55"/>
      <c r="G431" s="55"/>
      <c r="H431" s="55"/>
      <c r="I431" s="55"/>
      <c r="J431" s="55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>
      <c r="A432" s="12"/>
      <c r="B432" s="12"/>
      <c r="C432" s="12"/>
      <c r="D432" s="12"/>
      <c r="E432" s="12"/>
      <c r="F432" s="55"/>
      <c r="G432" s="55"/>
      <c r="H432" s="55"/>
      <c r="I432" s="55"/>
      <c r="J432" s="55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>
      <c r="A433" s="12"/>
      <c r="B433" s="12"/>
      <c r="C433" s="12"/>
      <c r="D433" s="12"/>
      <c r="E433" s="12"/>
      <c r="F433" s="55"/>
      <c r="G433" s="55"/>
      <c r="H433" s="55"/>
      <c r="I433" s="55"/>
      <c r="J433" s="55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>
      <c r="A434" s="12"/>
      <c r="B434" s="12"/>
      <c r="C434" s="12"/>
      <c r="D434" s="12"/>
      <c r="E434" s="12"/>
      <c r="F434" s="55"/>
      <c r="G434" s="55"/>
      <c r="H434" s="55"/>
      <c r="I434" s="55"/>
      <c r="J434" s="55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>
      <c r="A435" s="12"/>
      <c r="B435" s="12"/>
      <c r="C435" s="12"/>
      <c r="D435" s="12"/>
      <c r="E435" s="12"/>
      <c r="F435" s="55"/>
      <c r="G435" s="55"/>
      <c r="H435" s="55"/>
      <c r="I435" s="55"/>
      <c r="J435" s="55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>
      <c r="A436" s="12"/>
      <c r="B436" s="12"/>
      <c r="C436" s="12"/>
      <c r="D436" s="12"/>
      <c r="E436" s="12"/>
      <c r="F436" s="55"/>
      <c r="G436" s="55"/>
      <c r="H436" s="55"/>
      <c r="I436" s="55"/>
      <c r="J436" s="55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>
      <c r="A437" s="12"/>
      <c r="B437" s="12"/>
      <c r="C437" s="12"/>
      <c r="D437" s="12"/>
      <c r="E437" s="12"/>
      <c r="F437" s="55"/>
      <c r="G437" s="55"/>
      <c r="H437" s="55"/>
      <c r="I437" s="55"/>
      <c r="J437" s="55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>
      <c r="A438" s="12"/>
      <c r="B438" s="12"/>
      <c r="C438" s="12"/>
      <c r="D438" s="12"/>
      <c r="E438" s="12"/>
      <c r="F438" s="55"/>
      <c r="G438" s="55"/>
      <c r="H438" s="55"/>
      <c r="I438" s="55"/>
      <c r="J438" s="55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>
      <c r="A439" s="12"/>
      <c r="B439" s="12"/>
      <c r="C439" s="12"/>
      <c r="D439" s="12"/>
      <c r="E439" s="12"/>
      <c r="F439" s="55"/>
      <c r="G439" s="55"/>
      <c r="H439" s="55"/>
      <c r="I439" s="55"/>
      <c r="J439" s="55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>
      <c r="A440" s="12"/>
      <c r="B440" s="12"/>
      <c r="C440" s="12"/>
      <c r="D440" s="12"/>
      <c r="E440" s="12"/>
      <c r="F440" s="55"/>
      <c r="G440" s="55"/>
      <c r="H440" s="55"/>
      <c r="I440" s="55"/>
      <c r="J440" s="55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>
      <c r="A441" s="12"/>
      <c r="B441" s="12"/>
      <c r="C441" s="12"/>
      <c r="D441" s="12"/>
      <c r="E441" s="12"/>
      <c r="F441" s="55"/>
      <c r="G441" s="55"/>
      <c r="H441" s="55"/>
      <c r="I441" s="55"/>
      <c r="J441" s="55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>
      <c r="A442" s="12"/>
      <c r="B442" s="12"/>
      <c r="C442" s="12"/>
      <c r="D442" s="12"/>
      <c r="E442" s="12"/>
      <c r="F442" s="55"/>
      <c r="G442" s="55"/>
      <c r="H442" s="55"/>
      <c r="I442" s="55"/>
      <c r="J442" s="55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>
      <c r="A443" s="12"/>
      <c r="B443" s="12"/>
      <c r="C443" s="12"/>
      <c r="D443" s="12"/>
      <c r="E443" s="12"/>
      <c r="F443" s="55"/>
      <c r="G443" s="55"/>
      <c r="H443" s="55"/>
      <c r="I443" s="55"/>
      <c r="J443" s="55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>
      <c r="A444" s="12"/>
      <c r="B444" s="12"/>
      <c r="C444" s="12"/>
      <c r="D444" s="12"/>
      <c r="E444" s="12"/>
      <c r="F444" s="55"/>
      <c r="G444" s="55"/>
      <c r="H444" s="55"/>
      <c r="I444" s="55"/>
      <c r="J444" s="55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>
      <c r="A445" s="12"/>
      <c r="B445" s="12"/>
      <c r="C445" s="12"/>
      <c r="D445" s="12"/>
      <c r="E445" s="12"/>
      <c r="F445" s="55"/>
      <c r="G445" s="55"/>
      <c r="H445" s="55"/>
      <c r="I445" s="55"/>
      <c r="J445" s="55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>
      <c r="A446" s="12"/>
      <c r="B446" s="12"/>
      <c r="C446" s="12"/>
      <c r="D446" s="12"/>
      <c r="E446" s="12"/>
      <c r="F446" s="55"/>
      <c r="G446" s="55"/>
      <c r="H446" s="55"/>
      <c r="I446" s="55"/>
      <c r="J446" s="55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>
      <c r="A447" s="12"/>
      <c r="B447" s="12"/>
      <c r="C447" s="12"/>
      <c r="D447" s="12"/>
      <c r="E447" s="12"/>
      <c r="F447" s="55"/>
      <c r="G447" s="55"/>
      <c r="H447" s="55"/>
      <c r="I447" s="55"/>
      <c r="J447" s="55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>
      <c r="A448" s="12"/>
      <c r="B448" s="12"/>
      <c r="C448" s="12"/>
      <c r="D448" s="12"/>
      <c r="E448" s="12"/>
      <c r="F448" s="55"/>
      <c r="G448" s="55"/>
      <c r="H448" s="55"/>
      <c r="I448" s="55"/>
      <c r="J448" s="55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>
      <c r="A449" s="12"/>
      <c r="B449" s="12"/>
      <c r="C449" s="12"/>
      <c r="D449" s="12"/>
      <c r="E449" s="12"/>
      <c r="F449" s="55"/>
      <c r="G449" s="55"/>
      <c r="H449" s="55"/>
      <c r="I449" s="55"/>
      <c r="J449" s="55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>
      <c r="A450" s="12"/>
      <c r="B450" s="12"/>
      <c r="C450" s="12"/>
      <c r="D450" s="12"/>
      <c r="E450" s="12"/>
      <c r="F450" s="55"/>
      <c r="G450" s="55"/>
      <c r="H450" s="55"/>
      <c r="I450" s="55"/>
      <c r="J450" s="55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>
      <c r="A451" s="12"/>
      <c r="B451" s="12"/>
      <c r="C451" s="12"/>
      <c r="D451" s="12"/>
      <c r="E451" s="12"/>
      <c r="F451" s="55"/>
      <c r="G451" s="55"/>
      <c r="H451" s="55"/>
      <c r="I451" s="55"/>
      <c r="J451" s="55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>
      <c r="A452" s="12"/>
      <c r="B452" s="12"/>
      <c r="C452" s="12"/>
      <c r="D452" s="12"/>
      <c r="E452" s="12"/>
      <c r="F452" s="55"/>
      <c r="G452" s="55"/>
      <c r="H452" s="55"/>
      <c r="I452" s="55"/>
      <c r="J452" s="55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>
      <c r="A453" s="12"/>
      <c r="B453" s="12"/>
      <c r="C453" s="12"/>
      <c r="D453" s="12"/>
      <c r="E453" s="12"/>
      <c r="F453" s="55"/>
      <c r="G453" s="55"/>
      <c r="H453" s="55"/>
      <c r="I453" s="55"/>
      <c r="J453" s="55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>
      <c r="A454" s="12"/>
      <c r="B454" s="12"/>
      <c r="C454" s="12"/>
      <c r="D454" s="12"/>
      <c r="E454" s="12"/>
      <c r="F454" s="55"/>
      <c r="G454" s="55"/>
      <c r="H454" s="55"/>
      <c r="I454" s="55"/>
      <c r="J454" s="55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>
      <c r="A455" s="12"/>
      <c r="B455" s="12"/>
      <c r="C455" s="12"/>
      <c r="D455" s="12"/>
      <c r="E455" s="12"/>
      <c r="F455" s="55"/>
      <c r="G455" s="55"/>
      <c r="H455" s="55"/>
      <c r="I455" s="55"/>
      <c r="J455" s="55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>
      <c r="A456" s="12"/>
      <c r="B456" s="12"/>
      <c r="C456" s="12"/>
      <c r="D456" s="12"/>
      <c r="E456" s="12"/>
      <c r="F456" s="55"/>
      <c r="G456" s="55"/>
      <c r="H456" s="55"/>
      <c r="I456" s="55"/>
      <c r="J456" s="55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>
      <c r="A457" s="12"/>
      <c r="B457" s="12"/>
      <c r="C457" s="12"/>
      <c r="D457" s="12"/>
      <c r="E457" s="12"/>
      <c r="F457" s="55"/>
      <c r="G457" s="55"/>
      <c r="H457" s="55"/>
      <c r="I457" s="55"/>
      <c r="J457" s="55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>
      <c r="A458" s="12"/>
      <c r="B458" s="12"/>
      <c r="C458" s="12"/>
      <c r="D458" s="12"/>
      <c r="E458" s="12"/>
      <c r="F458" s="55"/>
      <c r="G458" s="55"/>
      <c r="H458" s="55"/>
      <c r="I458" s="55"/>
      <c r="J458" s="55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>
      <c r="A459" s="12"/>
      <c r="B459" s="12"/>
      <c r="C459" s="12"/>
      <c r="D459" s="12"/>
      <c r="E459" s="12"/>
      <c r="F459" s="55"/>
      <c r="G459" s="55"/>
      <c r="H459" s="55"/>
      <c r="I459" s="55"/>
      <c r="J459" s="55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>
      <c r="A460" s="12"/>
      <c r="B460" s="12"/>
      <c r="C460" s="12"/>
      <c r="D460" s="12"/>
      <c r="E460" s="12"/>
      <c r="F460" s="55"/>
      <c r="G460" s="55"/>
      <c r="H460" s="55"/>
      <c r="I460" s="55"/>
      <c r="J460" s="55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>
      <c r="A461" s="12"/>
      <c r="B461" s="12"/>
      <c r="C461" s="12"/>
      <c r="D461" s="12"/>
      <c r="E461" s="12"/>
      <c r="F461" s="55"/>
      <c r="G461" s="55"/>
      <c r="H461" s="55"/>
      <c r="I461" s="55"/>
      <c r="J461" s="55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>
      <c r="A462" s="12"/>
      <c r="B462" s="12"/>
      <c r="C462" s="12"/>
      <c r="D462" s="12"/>
      <c r="E462" s="12"/>
      <c r="F462" s="55"/>
      <c r="G462" s="55"/>
      <c r="H462" s="55"/>
      <c r="I462" s="55"/>
      <c r="J462" s="55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>
      <c r="A463" s="12"/>
      <c r="B463" s="12"/>
      <c r="C463" s="12"/>
      <c r="D463" s="12"/>
      <c r="E463" s="12"/>
      <c r="F463" s="55"/>
      <c r="G463" s="55"/>
      <c r="H463" s="55"/>
      <c r="I463" s="55"/>
      <c r="J463" s="55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>
      <c r="A464" s="12"/>
      <c r="B464" s="12"/>
      <c r="C464" s="12"/>
      <c r="D464" s="12"/>
      <c r="E464" s="12"/>
      <c r="F464" s="55"/>
      <c r="G464" s="55"/>
      <c r="H464" s="55"/>
      <c r="I464" s="55"/>
      <c r="J464" s="55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>
      <c r="A465" s="12"/>
      <c r="B465" s="12"/>
      <c r="C465" s="12"/>
      <c r="D465" s="12"/>
      <c r="E465" s="12"/>
      <c r="F465" s="55"/>
      <c r="G465" s="55"/>
      <c r="H465" s="55"/>
      <c r="I465" s="55"/>
      <c r="J465" s="55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>
      <c r="A466" s="12"/>
      <c r="B466" s="12"/>
      <c r="C466" s="12"/>
      <c r="D466" s="12"/>
      <c r="E466" s="12"/>
      <c r="F466" s="55"/>
      <c r="G466" s="55"/>
      <c r="H466" s="55"/>
      <c r="I466" s="55"/>
      <c r="J466" s="55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>
      <c r="A467" s="12"/>
      <c r="B467" s="12"/>
      <c r="C467" s="12"/>
      <c r="D467" s="12"/>
      <c r="E467" s="12"/>
      <c r="F467" s="55"/>
      <c r="G467" s="55"/>
      <c r="H467" s="55"/>
      <c r="I467" s="55"/>
      <c r="J467" s="55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>
      <c r="A468" s="12"/>
      <c r="B468" s="12"/>
      <c r="C468" s="12"/>
      <c r="D468" s="12"/>
      <c r="E468" s="12"/>
      <c r="F468" s="55"/>
      <c r="G468" s="55"/>
      <c r="H468" s="55"/>
      <c r="I468" s="55"/>
      <c r="J468" s="55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>
      <c r="A469" s="12"/>
      <c r="B469" s="12"/>
      <c r="C469" s="12"/>
      <c r="D469" s="12"/>
      <c r="E469" s="12"/>
      <c r="F469" s="55"/>
      <c r="G469" s="55"/>
      <c r="H469" s="55"/>
      <c r="I469" s="55"/>
      <c r="J469" s="55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>
      <c r="A470" s="12"/>
      <c r="B470" s="12"/>
      <c r="C470" s="12"/>
      <c r="D470" s="12"/>
      <c r="E470" s="12"/>
      <c r="F470" s="55"/>
      <c r="G470" s="55"/>
      <c r="H470" s="55"/>
      <c r="I470" s="55"/>
      <c r="J470" s="55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>
      <c r="A471" s="12"/>
      <c r="B471" s="12"/>
      <c r="C471" s="12"/>
      <c r="D471" s="12"/>
      <c r="E471" s="12"/>
      <c r="F471" s="55"/>
      <c r="G471" s="55"/>
      <c r="H471" s="55"/>
      <c r="I471" s="55"/>
      <c r="J471" s="55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>
      <c r="A472" s="12"/>
      <c r="B472" s="12"/>
      <c r="C472" s="12"/>
      <c r="D472" s="12"/>
      <c r="E472" s="12"/>
      <c r="F472" s="55"/>
      <c r="G472" s="55"/>
      <c r="H472" s="55"/>
      <c r="I472" s="55"/>
      <c r="J472" s="55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>
      <c r="A473" s="12"/>
      <c r="B473" s="12"/>
      <c r="C473" s="12"/>
      <c r="D473" s="12"/>
      <c r="E473" s="12"/>
      <c r="F473" s="55"/>
      <c r="G473" s="55"/>
      <c r="H473" s="55"/>
      <c r="I473" s="55"/>
      <c r="J473" s="55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>
      <c r="A474" s="12"/>
      <c r="B474" s="12"/>
      <c r="C474" s="12"/>
      <c r="D474" s="12"/>
      <c r="E474" s="12"/>
      <c r="F474" s="55"/>
      <c r="G474" s="55"/>
      <c r="H474" s="55"/>
      <c r="I474" s="55"/>
      <c r="J474" s="55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>
      <c r="A475" s="12"/>
      <c r="B475" s="12"/>
      <c r="C475" s="12"/>
      <c r="D475" s="12"/>
      <c r="E475" s="12"/>
      <c r="F475" s="55"/>
      <c r="G475" s="55"/>
      <c r="H475" s="55"/>
      <c r="I475" s="55"/>
      <c r="J475" s="55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>
      <c r="A476" s="12"/>
      <c r="B476" s="12"/>
      <c r="C476" s="12"/>
      <c r="D476" s="12"/>
      <c r="E476" s="12"/>
      <c r="F476" s="55"/>
      <c r="G476" s="55"/>
      <c r="H476" s="55"/>
      <c r="I476" s="55"/>
      <c r="J476" s="55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>
      <c r="A477" s="12"/>
      <c r="B477" s="12"/>
      <c r="C477" s="12"/>
      <c r="D477" s="12"/>
      <c r="E477" s="12"/>
      <c r="F477" s="55"/>
      <c r="G477" s="55"/>
      <c r="H477" s="55"/>
      <c r="I477" s="55"/>
      <c r="J477" s="55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>
      <c r="A478" s="12"/>
      <c r="B478" s="12"/>
      <c r="C478" s="12"/>
      <c r="D478" s="12"/>
      <c r="E478" s="12"/>
      <c r="F478" s="55"/>
      <c r="G478" s="55"/>
      <c r="H478" s="55"/>
      <c r="I478" s="55"/>
      <c r="J478" s="55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>
      <c r="A479" s="12"/>
      <c r="B479" s="12"/>
      <c r="C479" s="12"/>
      <c r="D479" s="12"/>
      <c r="E479" s="12"/>
      <c r="F479" s="55"/>
      <c r="G479" s="55"/>
      <c r="H479" s="55"/>
      <c r="I479" s="55"/>
      <c r="J479" s="55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>
      <c r="A480" s="12"/>
      <c r="B480" s="12"/>
      <c r="C480" s="12"/>
      <c r="D480" s="12"/>
      <c r="E480" s="12"/>
      <c r="F480" s="55"/>
      <c r="G480" s="55"/>
      <c r="H480" s="55"/>
      <c r="I480" s="55"/>
      <c r="J480" s="55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>
      <c r="A481" s="12"/>
      <c r="B481" s="12"/>
      <c r="C481" s="12"/>
      <c r="D481" s="12"/>
      <c r="E481" s="12"/>
      <c r="F481" s="55"/>
      <c r="G481" s="55"/>
      <c r="H481" s="55"/>
      <c r="I481" s="55"/>
      <c r="J481" s="55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>
      <c r="A482" s="12"/>
      <c r="B482" s="12"/>
      <c r="C482" s="12"/>
      <c r="D482" s="12"/>
      <c r="E482" s="12"/>
      <c r="F482" s="55"/>
      <c r="G482" s="55"/>
      <c r="H482" s="55"/>
      <c r="I482" s="55"/>
      <c r="J482" s="55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>
      <c r="A483" s="12"/>
      <c r="B483" s="12"/>
      <c r="C483" s="12"/>
      <c r="D483" s="12"/>
      <c r="E483" s="12"/>
      <c r="F483" s="55"/>
      <c r="G483" s="55"/>
      <c r="H483" s="55"/>
      <c r="I483" s="55"/>
      <c r="J483" s="55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>
      <c r="A484" s="12"/>
      <c r="B484" s="12"/>
      <c r="C484" s="12"/>
      <c r="D484" s="12"/>
      <c r="E484" s="12"/>
      <c r="F484" s="55"/>
      <c r="G484" s="55"/>
      <c r="H484" s="55"/>
      <c r="I484" s="55"/>
      <c r="J484" s="55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>
      <c r="A485" s="12"/>
      <c r="B485" s="12"/>
      <c r="C485" s="12"/>
      <c r="D485" s="12"/>
      <c r="E485" s="12"/>
      <c r="F485" s="55"/>
      <c r="G485" s="55"/>
      <c r="H485" s="55"/>
      <c r="I485" s="55"/>
      <c r="J485" s="55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>
      <c r="A486" s="12"/>
      <c r="B486" s="12"/>
      <c r="C486" s="12"/>
      <c r="D486" s="12"/>
      <c r="E486" s="12"/>
      <c r="F486" s="55"/>
      <c r="G486" s="55"/>
      <c r="H486" s="55"/>
      <c r="I486" s="55"/>
      <c r="J486" s="55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>
      <c r="A487" s="12"/>
      <c r="B487" s="12"/>
      <c r="C487" s="12"/>
      <c r="D487" s="12"/>
      <c r="E487" s="12"/>
      <c r="F487" s="55"/>
      <c r="G487" s="55"/>
      <c r="H487" s="55"/>
      <c r="I487" s="55"/>
      <c r="J487" s="55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>
      <c r="A488" s="12"/>
      <c r="B488" s="12"/>
      <c r="C488" s="12"/>
      <c r="D488" s="12"/>
      <c r="E488" s="12"/>
      <c r="F488" s="55"/>
      <c r="G488" s="55"/>
      <c r="H488" s="55"/>
      <c r="I488" s="55"/>
      <c r="J488" s="55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>
      <c r="A489" s="12"/>
      <c r="B489" s="12"/>
      <c r="C489" s="12"/>
      <c r="D489" s="12"/>
      <c r="E489" s="12"/>
      <c r="F489" s="55"/>
      <c r="G489" s="55"/>
      <c r="H489" s="55"/>
      <c r="I489" s="55"/>
      <c r="J489" s="55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>
      <c r="A490" s="12"/>
      <c r="B490" s="12"/>
      <c r="C490" s="12"/>
      <c r="D490" s="12"/>
      <c r="E490" s="12"/>
      <c r="F490" s="55"/>
      <c r="G490" s="55"/>
      <c r="H490" s="55"/>
      <c r="I490" s="55"/>
      <c r="J490" s="55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>
      <c r="A491" s="12"/>
      <c r="B491" s="12"/>
      <c r="C491" s="12"/>
      <c r="D491" s="12"/>
      <c r="E491" s="12"/>
      <c r="F491" s="55"/>
      <c r="G491" s="55"/>
      <c r="H491" s="55"/>
      <c r="I491" s="55"/>
      <c r="J491" s="55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>
      <c r="A492" s="12"/>
      <c r="B492" s="12"/>
      <c r="C492" s="12"/>
      <c r="D492" s="12"/>
      <c r="E492" s="12"/>
      <c r="F492" s="55"/>
      <c r="G492" s="55"/>
      <c r="H492" s="55"/>
      <c r="I492" s="55"/>
      <c r="J492" s="55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>
      <c r="A493" s="12"/>
      <c r="B493" s="12"/>
      <c r="C493" s="12"/>
      <c r="D493" s="12"/>
      <c r="E493" s="12"/>
      <c r="F493" s="55"/>
      <c r="G493" s="55"/>
      <c r="H493" s="55"/>
      <c r="I493" s="55"/>
      <c r="J493" s="55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>
      <c r="A494" s="12"/>
      <c r="B494" s="12"/>
      <c r="C494" s="12"/>
      <c r="D494" s="12"/>
      <c r="E494" s="12"/>
      <c r="F494" s="55"/>
      <c r="G494" s="55"/>
      <c r="H494" s="55"/>
      <c r="I494" s="55"/>
      <c r="J494" s="55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>
      <c r="A495" s="12"/>
      <c r="B495" s="12"/>
      <c r="C495" s="12"/>
      <c r="D495" s="12"/>
      <c r="E495" s="12"/>
      <c r="F495" s="55"/>
      <c r="G495" s="55"/>
      <c r="H495" s="55"/>
      <c r="I495" s="55"/>
      <c r="J495" s="55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>
      <c r="A496" s="12"/>
      <c r="B496" s="12"/>
      <c r="C496" s="12"/>
      <c r="D496" s="12"/>
      <c r="E496" s="12"/>
      <c r="F496" s="55"/>
      <c r="G496" s="55"/>
      <c r="H496" s="55"/>
      <c r="I496" s="55"/>
      <c r="J496" s="55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>
      <c r="A497" s="12"/>
      <c r="B497" s="12"/>
      <c r="C497" s="12"/>
      <c r="D497" s="12"/>
      <c r="E497" s="12"/>
      <c r="F497" s="55"/>
      <c r="G497" s="55"/>
      <c r="H497" s="55"/>
      <c r="I497" s="55"/>
      <c r="J497" s="55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>
      <c r="A498" s="12"/>
      <c r="B498" s="12"/>
      <c r="C498" s="12"/>
      <c r="D498" s="12"/>
      <c r="E498" s="12"/>
      <c r="F498" s="55"/>
      <c r="G498" s="55"/>
      <c r="H498" s="55"/>
      <c r="I498" s="55"/>
      <c r="J498" s="55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>
      <c r="A499" s="12"/>
      <c r="B499" s="12"/>
      <c r="C499" s="12"/>
      <c r="D499" s="12"/>
      <c r="E499" s="12"/>
      <c r="F499" s="55"/>
      <c r="G499" s="55"/>
      <c r="H499" s="55"/>
      <c r="I499" s="55"/>
      <c r="J499" s="55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>
      <c r="A500" s="12"/>
      <c r="B500" s="12"/>
      <c r="C500" s="12"/>
      <c r="D500" s="12"/>
      <c r="E500" s="12"/>
      <c r="F500" s="55"/>
      <c r="G500" s="55"/>
      <c r="H500" s="55"/>
      <c r="I500" s="55"/>
      <c r="J500" s="55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>
      <c r="A501" s="12"/>
      <c r="B501" s="12"/>
      <c r="C501" s="12"/>
      <c r="D501" s="12"/>
      <c r="E501" s="12"/>
      <c r="F501" s="55"/>
      <c r="G501" s="55"/>
      <c r="H501" s="55"/>
      <c r="I501" s="55"/>
      <c r="J501" s="55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>
      <c r="A502" s="12"/>
      <c r="B502" s="12"/>
      <c r="C502" s="12"/>
      <c r="D502" s="12"/>
      <c r="E502" s="12"/>
      <c r="F502" s="55"/>
      <c r="G502" s="55"/>
      <c r="H502" s="55"/>
      <c r="I502" s="55"/>
      <c r="J502" s="55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>
      <c r="A503" s="12"/>
      <c r="B503" s="12"/>
      <c r="C503" s="12"/>
      <c r="D503" s="12"/>
      <c r="E503" s="12"/>
      <c r="F503" s="55"/>
      <c r="G503" s="55"/>
      <c r="H503" s="55"/>
      <c r="I503" s="55"/>
      <c r="J503" s="55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>
      <c r="A504" s="12"/>
      <c r="B504" s="12"/>
      <c r="C504" s="12"/>
      <c r="D504" s="12"/>
      <c r="E504" s="12"/>
      <c r="F504" s="55"/>
      <c r="G504" s="55"/>
      <c r="H504" s="55"/>
      <c r="I504" s="55"/>
      <c r="J504" s="55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>
      <c r="A505" s="12"/>
      <c r="B505" s="12"/>
      <c r="C505" s="12"/>
      <c r="D505" s="12"/>
      <c r="E505" s="12"/>
      <c r="F505" s="55"/>
      <c r="G505" s="55"/>
      <c r="H505" s="55"/>
      <c r="I505" s="55"/>
      <c r="J505" s="55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>
      <c r="A506" s="12"/>
      <c r="B506" s="12"/>
      <c r="C506" s="12"/>
      <c r="D506" s="12"/>
      <c r="E506" s="12"/>
      <c r="F506" s="55"/>
      <c r="G506" s="55"/>
      <c r="H506" s="55"/>
      <c r="I506" s="55"/>
      <c r="J506" s="55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>
      <c r="A507" s="12"/>
      <c r="B507" s="12"/>
      <c r="C507" s="12"/>
      <c r="D507" s="12"/>
      <c r="E507" s="12"/>
      <c r="F507" s="55"/>
      <c r="G507" s="55"/>
      <c r="H507" s="55"/>
      <c r="I507" s="55"/>
      <c r="J507" s="55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>
      <c r="A508" s="12"/>
      <c r="B508" s="12"/>
      <c r="C508" s="12"/>
      <c r="D508" s="12"/>
      <c r="E508" s="12"/>
      <c r="F508" s="55"/>
      <c r="G508" s="55"/>
      <c r="H508" s="55"/>
      <c r="I508" s="55"/>
      <c r="J508" s="55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>
      <c r="A509" s="12"/>
      <c r="B509" s="12"/>
      <c r="C509" s="12"/>
      <c r="D509" s="12"/>
      <c r="E509" s="12"/>
      <c r="F509" s="55"/>
      <c r="G509" s="55"/>
      <c r="H509" s="55"/>
      <c r="I509" s="55"/>
      <c r="J509" s="55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>
      <c r="A510" s="12"/>
      <c r="B510" s="12"/>
      <c r="C510" s="12"/>
      <c r="D510" s="12"/>
      <c r="E510" s="12"/>
      <c r="F510" s="55"/>
      <c r="G510" s="55"/>
      <c r="H510" s="55"/>
      <c r="I510" s="55"/>
      <c r="J510" s="55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>
      <c r="A511" s="12"/>
      <c r="B511" s="12"/>
      <c r="C511" s="12"/>
      <c r="D511" s="12"/>
      <c r="E511" s="12"/>
      <c r="F511" s="55"/>
      <c r="G511" s="55"/>
      <c r="H511" s="55"/>
      <c r="I511" s="55"/>
      <c r="J511" s="55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>
      <c r="A512" s="12"/>
      <c r="B512" s="12"/>
      <c r="C512" s="12"/>
      <c r="D512" s="12"/>
      <c r="E512" s="12"/>
      <c r="F512" s="55"/>
      <c r="G512" s="55"/>
      <c r="H512" s="55"/>
      <c r="I512" s="55"/>
      <c r="J512" s="55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>
      <c r="A513" s="12"/>
      <c r="B513" s="12"/>
      <c r="C513" s="12"/>
      <c r="D513" s="12"/>
      <c r="E513" s="12"/>
      <c r="F513" s="55"/>
      <c r="G513" s="55"/>
      <c r="H513" s="55"/>
      <c r="I513" s="55"/>
      <c r="J513" s="55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>
      <c r="A514" s="12"/>
      <c r="B514" s="12"/>
      <c r="C514" s="12"/>
      <c r="D514" s="12"/>
      <c r="E514" s="12"/>
      <c r="F514" s="55"/>
      <c r="G514" s="55"/>
      <c r="H514" s="55"/>
      <c r="I514" s="55"/>
      <c r="J514" s="55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>
      <c r="A515" s="12"/>
      <c r="B515" s="12"/>
      <c r="C515" s="12"/>
      <c r="D515" s="12"/>
      <c r="E515" s="12"/>
      <c r="F515" s="55"/>
      <c r="G515" s="55"/>
      <c r="H515" s="55"/>
      <c r="I515" s="55"/>
      <c r="J515" s="55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>
      <c r="A516" s="12"/>
      <c r="B516" s="12"/>
      <c r="C516" s="12"/>
      <c r="D516" s="12"/>
      <c r="E516" s="12"/>
      <c r="F516" s="55"/>
      <c r="G516" s="55"/>
      <c r="H516" s="55"/>
      <c r="I516" s="55"/>
      <c r="J516" s="55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>
      <c r="A517" s="12"/>
      <c r="B517" s="12"/>
      <c r="C517" s="12"/>
      <c r="D517" s="12"/>
      <c r="E517" s="12"/>
      <c r="F517" s="55"/>
      <c r="G517" s="55"/>
      <c r="H517" s="55"/>
      <c r="I517" s="55"/>
      <c r="J517" s="55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>
      <c r="A518" s="12"/>
      <c r="B518" s="12"/>
      <c r="C518" s="12"/>
      <c r="D518" s="12"/>
      <c r="E518" s="12"/>
      <c r="F518" s="55"/>
      <c r="G518" s="55"/>
      <c r="H518" s="55"/>
      <c r="I518" s="55"/>
      <c r="J518" s="55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>
      <c r="A519" s="12"/>
      <c r="B519" s="12"/>
      <c r="C519" s="12"/>
      <c r="D519" s="12"/>
      <c r="E519" s="12"/>
      <c r="F519" s="55"/>
      <c r="G519" s="55"/>
      <c r="H519" s="55"/>
      <c r="I519" s="55"/>
      <c r="J519" s="55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>
      <c r="A520" s="12"/>
      <c r="B520" s="12"/>
      <c r="C520" s="12"/>
      <c r="D520" s="12"/>
      <c r="E520" s="12"/>
      <c r="F520" s="55"/>
      <c r="G520" s="55"/>
      <c r="H520" s="55"/>
      <c r="I520" s="55"/>
      <c r="J520" s="55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>
      <c r="A521" s="12"/>
      <c r="B521" s="12"/>
      <c r="C521" s="12"/>
      <c r="D521" s="12"/>
      <c r="E521" s="12"/>
      <c r="F521" s="55"/>
      <c r="G521" s="55"/>
      <c r="H521" s="55"/>
      <c r="I521" s="55"/>
      <c r="J521" s="55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>
      <c r="A522" s="12"/>
      <c r="B522" s="12"/>
      <c r="C522" s="12"/>
      <c r="D522" s="12"/>
      <c r="E522" s="12"/>
      <c r="F522" s="55"/>
      <c r="G522" s="55"/>
      <c r="H522" s="55"/>
      <c r="I522" s="55"/>
      <c r="J522" s="55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>
      <c r="A523" s="12"/>
      <c r="B523" s="12"/>
      <c r="C523" s="12"/>
      <c r="D523" s="12"/>
      <c r="E523" s="12"/>
      <c r="F523" s="55"/>
      <c r="G523" s="55"/>
      <c r="H523" s="55"/>
      <c r="I523" s="55"/>
      <c r="J523" s="55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>
      <c r="A524" s="12"/>
      <c r="B524" s="12"/>
      <c r="C524" s="12"/>
      <c r="D524" s="12"/>
      <c r="E524" s="12"/>
      <c r="F524" s="55"/>
      <c r="G524" s="55"/>
      <c r="H524" s="55"/>
      <c r="I524" s="55"/>
      <c r="J524" s="55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>
      <c r="A525" s="12"/>
      <c r="B525" s="12"/>
      <c r="C525" s="12"/>
      <c r="D525" s="12"/>
      <c r="E525" s="12"/>
      <c r="F525" s="55"/>
      <c r="G525" s="55"/>
      <c r="H525" s="55"/>
      <c r="I525" s="55"/>
      <c r="J525" s="55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>
      <c r="A526" s="12"/>
      <c r="B526" s="12"/>
      <c r="C526" s="12"/>
      <c r="D526" s="12"/>
      <c r="E526" s="12"/>
      <c r="F526" s="55"/>
      <c r="G526" s="55"/>
      <c r="H526" s="55"/>
      <c r="I526" s="55"/>
      <c r="J526" s="55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>
      <c r="A527" s="12"/>
      <c r="B527" s="12"/>
      <c r="C527" s="12"/>
      <c r="D527" s="12"/>
      <c r="E527" s="12"/>
      <c r="F527" s="55"/>
      <c r="G527" s="55"/>
      <c r="H527" s="55"/>
      <c r="I527" s="55"/>
      <c r="J527" s="55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>
      <c r="A528" s="12"/>
      <c r="B528" s="12"/>
      <c r="C528" s="12"/>
      <c r="D528" s="12"/>
      <c r="E528" s="12"/>
      <c r="F528" s="55"/>
      <c r="G528" s="55"/>
      <c r="H528" s="55"/>
      <c r="I528" s="55"/>
      <c r="J528" s="55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>
      <c r="A529" s="12"/>
      <c r="B529" s="12"/>
      <c r="C529" s="12"/>
      <c r="D529" s="12"/>
      <c r="E529" s="12"/>
      <c r="F529" s="55"/>
      <c r="G529" s="55"/>
      <c r="H529" s="55"/>
      <c r="I529" s="55"/>
      <c r="J529" s="55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>
      <c r="A530" s="12"/>
      <c r="B530" s="12"/>
      <c r="C530" s="12"/>
      <c r="D530" s="12"/>
      <c r="E530" s="12"/>
      <c r="F530" s="55"/>
      <c r="G530" s="55"/>
      <c r="H530" s="55"/>
      <c r="I530" s="55"/>
      <c r="J530" s="55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>
      <c r="A531" s="12"/>
      <c r="B531" s="12"/>
      <c r="C531" s="12"/>
      <c r="D531" s="12"/>
      <c r="E531" s="12"/>
      <c r="F531" s="55"/>
      <c r="G531" s="55"/>
      <c r="H531" s="55"/>
      <c r="I531" s="55"/>
      <c r="J531" s="55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>
      <c r="A532" s="12"/>
      <c r="B532" s="12"/>
      <c r="C532" s="12"/>
      <c r="D532" s="12"/>
      <c r="E532" s="12"/>
      <c r="F532" s="55"/>
      <c r="G532" s="55"/>
      <c r="H532" s="55"/>
      <c r="I532" s="55"/>
      <c r="J532" s="55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>
      <c r="A533" s="12"/>
      <c r="B533" s="12"/>
      <c r="C533" s="12"/>
      <c r="D533" s="12"/>
      <c r="E533" s="12"/>
      <c r="F533" s="55"/>
      <c r="G533" s="55"/>
      <c r="H533" s="55"/>
      <c r="I533" s="55"/>
      <c r="J533" s="55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>
      <c r="A534" s="12"/>
      <c r="B534" s="12"/>
      <c r="C534" s="12"/>
      <c r="D534" s="12"/>
      <c r="E534" s="12"/>
      <c r="F534" s="55"/>
      <c r="G534" s="55"/>
      <c r="H534" s="55"/>
      <c r="I534" s="55"/>
      <c r="J534" s="55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>
      <c r="A535" s="12"/>
      <c r="B535" s="12"/>
      <c r="C535" s="12"/>
      <c r="D535" s="12"/>
      <c r="E535" s="12"/>
      <c r="F535" s="55"/>
      <c r="G535" s="55"/>
      <c r="H535" s="55"/>
      <c r="I535" s="55"/>
      <c r="J535" s="55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>
      <c r="A536" s="12"/>
      <c r="B536" s="12"/>
      <c r="C536" s="12"/>
      <c r="D536" s="12"/>
      <c r="E536" s="12"/>
      <c r="F536" s="55"/>
      <c r="G536" s="55"/>
      <c r="H536" s="55"/>
      <c r="I536" s="55"/>
      <c r="J536" s="55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>
      <c r="A537" s="12"/>
      <c r="B537" s="12"/>
      <c r="C537" s="12"/>
      <c r="D537" s="12"/>
      <c r="E537" s="12"/>
      <c r="F537" s="55"/>
      <c r="G537" s="55"/>
      <c r="H537" s="55"/>
      <c r="I537" s="55"/>
      <c r="J537" s="55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>
      <c r="A538" s="12"/>
      <c r="B538" s="12"/>
      <c r="C538" s="12"/>
      <c r="D538" s="12"/>
      <c r="E538" s="12"/>
      <c r="F538" s="55"/>
      <c r="G538" s="55"/>
      <c r="H538" s="55"/>
      <c r="I538" s="55"/>
      <c r="J538" s="55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>
      <c r="A539" s="12"/>
      <c r="B539" s="12"/>
      <c r="C539" s="12"/>
      <c r="D539" s="12"/>
      <c r="E539" s="12"/>
      <c r="F539" s="55"/>
      <c r="G539" s="55"/>
      <c r="H539" s="55"/>
      <c r="I539" s="55"/>
      <c r="J539" s="55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>
      <c r="A540" s="12"/>
      <c r="B540" s="12"/>
      <c r="C540" s="12"/>
      <c r="D540" s="12"/>
      <c r="E540" s="12"/>
      <c r="F540" s="55"/>
      <c r="G540" s="55"/>
      <c r="H540" s="55"/>
      <c r="I540" s="55"/>
      <c r="J540" s="55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>
      <c r="A541" s="12"/>
      <c r="B541" s="12"/>
      <c r="C541" s="12"/>
      <c r="D541" s="12"/>
      <c r="E541" s="12"/>
      <c r="F541" s="55"/>
      <c r="G541" s="55"/>
      <c r="H541" s="55"/>
      <c r="I541" s="55"/>
      <c r="J541" s="55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>
      <c r="A542" s="12"/>
      <c r="B542" s="12"/>
      <c r="C542" s="12"/>
      <c r="D542" s="12"/>
      <c r="E542" s="12"/>
      <c r="F542" s="55"/>
      <c r="G542" s="55"/>
      <c r="H542" s="55"/>
      <c r="I542" s="55"/>
      <c r="J542" s="55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>
      <c r="A543" s="12"/>
      <c r="B543" s="12"/>
      <c r="C543" s="12"/>
      <c r="D543" s="12"/>
      <c r="E543" s="12"/>
      <c r="F543" s="55"/>
      <c r="G543" s="55"/>
      <c r="H543" s="55"/>
      <c r="I543" s="55"/>
      <c r="J543" s="55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>
      <c r="A544" s="12"/>
      <c r="B544" s="12"/>
      <c r="C544" s="12"/>
      <c r="D544" s="12"/>
      <c r="E544" s="12"/>
      <c r="F544" s="55"/>
      <c r="G544" s="55"/>
      <c r="H544" s="55"/>
      <c r="I544" s="55"/>
      <c r="J544" s="55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>
      <c r="A545" s="12"/>
      <c r="B545" s="12"/>
      <c r="C545" s="12"/>
      <c r="D545" s="12"/>
      <c r="E545" s="12"/>
      <c r="F545" s="55"/>
      <c r="G545" s="55"/>
      <c r="H545" s="55"/>
      <c r="I545" s="55"/>
      <c r="J545" s="55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>
      <c r="A546" s="12"/>
      <c r="B546" s="12"/>
      <c r="C546" s="12"/>
      <c r="D546" s="12"/>
      <c r="E546" s="12"/>
      <c r="F546" s="55"/>
      <c r="G546" s="55"/>
      <c r="H546" s="55"/>
      <c r="I546" s="55"/>
      <c r="J546" s="55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>
      <c r="A547" s="12"/>
      <c r="B547" s="12"/>
      <c r="C547" s="12"/>
      <c r="D547" s="12"/>
      <c r="E547" s="12"/>
      <c r="F547" s="55"/>
      <c r="G547" s="55"/>
      <c r="H547" s="55"/>
      <c r="I547" s="55"/>
      <c r="J547" s="55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>
      <c r="A548" s="12"/>
      <c r="B548" s="12"/>
      <c r="C548" s="12"/>
      <c r="D548" s="12"/>
      <c r="E548" s="12"/>
      <c r="F548" s="55"/>
      <c r="G548" s="55"/>
      <c r="H548" s="55"/>
      <c r="I548" s="55"/>
      <c r="J548" s="55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>
      <c r="A549" s="12"/>
      <c r="B549" s="12"/>
      <c r="C549" s="12"/>
      <c r="D549" s="12"/>
      <c r="E549" s="12"/>
      <c r="F549" s="55"/>
      <c r="G549" s="55"/>
      <c r="H549" s="55"/>
      <c r="I549" s="55"/>
      <c r="J549" s="55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>
      <c r="A550" s="12"/>
      <c r="B550" s="12"/>
      <c r="C550" s="12"/>
      <c r="D550" s="12"/>
      <c r="E550" s="12"/>
      <c r="F550" s="55"/>
      <c r="G550" s="55"/>
      <c r="H550" s="55"/>
      <c r="I550" s="55"/>
      <c r="J550" s="55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>
      <c r="A551" s="12"/>
      <c r="B551" s="12"/>
      <c r="C551" s="12"/>
      <c r="D551" s="12"/>
      <c r="E551" s="12"/>
      <c r="F551" s="55"/>
      <c r="G551" s="55"/>
      <c r="H551" s="55"/>
      <c r="I551" s="55"/>
      <c r="J551" s="55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>
      <c r="A552" s="12"/>
      <c r="B552" s="12"/>
      <c r="C552" s="12"/>
      <c r="D552" s="12"/>
      <c r="E552" s="12"/>
      <c r="F552" s="55"/>
      <c r="G552" s="55"/>
      <c r="H552" s="55"/>
      <c r="I552" s="55"/>
      <c r="J552" s="55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>
      <c r="A553" s="12"/>
      <c r="B553" s="12"/>
      <c r="C553" s="12"/>
      <c r="D553" s="12"/>
      <c r="E553" s="12"/>
      <c r="F553" s="55"/>
      <c r="G553" s="55"/>
      <c r="H553" s="55"/>
      <c r="I553" s="55"/>
      <c r="J553" s="55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>
      <c r="A554" s="12"/>
      <c r="B554" s="12"/>
      <c r="C554" s="12"/>
      <c r="D554" s="12"/>
      <c r="E554" s="12"/>
      <c r="F554" s="55"/>
      <c r="G554" s="55"/>
      <c r="H554" s="55"/>
      <c r="I554" s="55"/>
      <c r="J554" s="55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>
      <c r="A555" s="12"/>
      <c r="B555" s="12"/>
      <c r="C555" s="12"/>
      <c r="D555" s="12"/>
      <c r="E555" s="12"/>
      <c r="F555" s="55"/>
      <c r="G555" s="55"/>
      <c r="H555" s="55"/>
      <c r="I555" s="55"/>
      <c r="J555" s="55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>
      <c r="A556" s="12"/>
      <c r="B556" s="12"/>
      <c r="C556" s="12"/>
      <c r="D556" s="12"/>
      <c r="E556" s="12"/>
      <c r="F556" s="55"/>
      <c r="G556" s="55"/>
      <c r="H556" s="55"/>
      <c r="I556" s="55"/>
      <c r="J556" s="55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>
      <c r="A557" s="12"/>
      <c r="B557" s="12"/>
      <c r="C557" s="12"/>
      <c r="D557" s="12"/>
      <c r="E557" s="12"/>
      <c r="F557" s="55"/>
      <c r="G557" s="55"/>
      <c r="H557" s="55"/>
      <c r="I557" s="55"/>
      <c r="J557" s="55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>
      <c r="A558" s="12"/>
      <c r="B558" s="12"/>
      <c r="C558" s="12"/>
      <c r="D558" s="12"/>
      <c r="E558" s="12"/>
      <c r="F558" s="55"/>
      <c r="G558" s="55"/>
      <c r="H558" s="55"/>
      <c r="I558" s="55"/>
      <c r="J558" s="55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>
      <c r="A559" s="12"/>
      <c r="B559" s="12"/>
      <c r="C559" s="12"/>
      <c r="D559" s="12"/>
      <c r="E559" s="12"/>
      <c r="F559" s="55"/>
      <c r="G559" s="55"/>
      <c r="H559" s="55"/>
      <c r="I559" s="55"/>
      <c r="J559" s="55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>
      <c r="A560" s="12"/>
      <c r="B560" s="12"/>
      <c r="C560" s="12"/>
      <c r="D560" s="12"/>
      <c r="E560" s="12"/>
      <c r="F560" s="55"/>
      <c r="G560" s="55"/>
      <c r="H560" s="55"/>
      <c r="I560" s="55"/>
      <c r="J560" s="55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>
      <c r="A561" s="12"/>
      <c r="B561" s="12"/>
      <c r="C561" s="12"/>
      <c r="D561" s="12"/>
      <c r="E561" s="12"/>
      <c r="F561" s="55"/>
      <c r="G561" s="55"/>
      <c r="H561" s="55"/>
      <c r="I561" s="55"/>
      <c r="J561" s="55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>
      <c r="A562" s="12"/>
      <c r="B562" s="12"/>
      <c r="C562" s="12"/>
      <c r="D562" s="12"/>
      <c r="E562" s="12"/>
      <c r="F562" s="55"/>
      <c r="G562" s="55"/>
      <c r="H562" s="55"/>
      <c r="I562" s="55"/>
      <c r="J562" s="55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>
      <c r="A563" s="12"/>
      <c r="B563" s="12"/>
      <c r="C563" s="12"/>
      <c r="D563" s="12"/>
      <c r="E563" s="12"/>
      <c r="F563" s="55"/>
      <c r="G563" s="55"/>
      <c r="H563" s="55"/>
      <c r="I563" s="55"/>
      <c r="J563" s="55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>
      <c r="A564" s="12"/>
      <c r="B564" s="12"/>
      <c r="C564" s="12"/>
      <c r="D564" s="12"/>
      <c r="E564" s="12"/>
      <c r="F564" s="55"/>
      <c r="G564" s="55"/>
      <c r="H564" s="55"/>
      <c r="I564" s="55"/>
      <c r="J564" s="55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>
      <c r="A565" s="12"/>
      <c r="B565" s="12"/>
      <c r="C565" s="12"/>
      <c r="D565" s="12"/>
      <c r="E565" s="12"/>
      <c r="F565" s="55"/>
      <c r="G565" s="55"/>
      <c r="H565" s="55"/>
      <c r="I565" s="55"/>
      <c r="J565" s="55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>
      <c r="A566" s="12"/>
      <c r="B566" s="12"/>
      <c r="C566" s="12"/>
      <c r="D566" s="12"/>
      <c r="E566" s="12"/>
      <c r="F566" s="55"/>
      <c r="G566" s="55"/>
      <c r="H566" s="55"/>
      <c r="I566" s="55"/>
      <c r="J566" s="55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>
      <c r="A567" s="12"/>
      <c r="B567" s="12"/>
      <c r="C567" s="12"/>
      <c r="D567" s="12"/>
      <c r="E567" s="12"/>
      <c r="F567" s="55"/>
      <c r="G567" s="55"/>
      <c r="H567" s="55"/>
      <c r="I567" s="55"/>
      <c r="J567" s="55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>
      <c r="A568" s="12"/>
      <c r="B568" s="12"/>
      <c r="C568" s="12"/>
      <c r="D568" s="12"/>
      <c r="E568" s="12"/>
      <c r="F568" s="55"/>
      <c r="G568" s="55"/>
      <c r="H568" s="55"/>
      <c r="I568" s="55"/>
      <c r="J568" s="55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>
      <c r="A569" s="12"/>
      <c r="B569" s="12"/>
      <c r="C569" s="12"/>
      <c r="D569" s="12"/>
      <c r="E569" s="12"/>
      <c r="F569" s="55"/>
      <c r="G569" s="55"/>
      <c r="H569" s="55"/>
      <c r="I569" s="55"/>
      <c r="J569" s="55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>
      <c r="A570" s="12"/>
      <c r="B570" s="12"/>
      <c r="C570" s="12"/>
      <c r="D570" s="12"/>
      <c r="E570" s="12"/>
      <c r="F570" s="55"/>
      <c r="G570" s="55"/>
      <c r="H570" s="55"/>
      <c r="I570" s="55"/>
      <c r="J570" s="55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>
      <c r="A571" s="12"/>
      <c r="B571" s="12"/>
      <c r="C571" s="12"/>
      <c r="D571" s="12"/>
      <c r="E571" s="12"/>
      <c r="F571" s="55"/>
      <c r="G571" s="55"/>
      <c r="H571" s="55"/>
      <c r="I571" s="55"/>
      <c r="J571" s="55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>
      <c r="A572" s="12"/>
      <c r="B572" s="12"/>
      <c r="C572" s="12"/>
      <c r="D572" s="12"/>
      <c r="E572" s="12"/>
      <c r="F572" s="55"/>
      <c r="G572" s="55"/>
      <c r="H572" s="55"/>
      <c r="I572" s="55"/>
      <c r="J572" s="55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>
      <c r="A573" s="12"/>
      <c r="B573" s="12"/>
      <c r="C573" s="12"/>
      <c r="D573" s="12"/>
      <c r="E573" s="12"/>
      <c r="F573" s="55"/>
      <c r="G573" s="55"/>
      <c r="H573" s="55"/>
      <c r="I573" s="55"/>
      <c r="J573" s="55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>
      <c r="A574" s="12"/>
      <c r="B574" s="12"/>
      <c r="C574" s="12"/>
      <c r="D574" s="12"/>
      <c r="E574" s="12"/>
      <c r="F574" s="55"/>
      <c r="G574" s="55"/>
      <c r="H574" s="55"/>
      <c r="I574" s="55"/>
      <c r="J574" s="55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>
      <c r="A575" s="12"/>
      <c r="B575" s="12"/>
      <c r="C575" s="12"/>
      <c r="D575" s="12"/>
      <c r="E575" s="12"/>
      <c r="F575" s="55"/>
      <c r="G575" s="55"/>
      <c r="H575" s="55"/>
      <c r="I575" s="55"/>
      <c r="J575" s="55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>
      <c r="A576" s="12"/>
      <c r="B576" s="12"/>
      <c r="C576" s="12"/>
      <c r="D576" s="12"/>
      <c r="E576" s="12"/>
      <c r="F576" s="55"/>
      <c r="G576" s="55"/>
      <c r="H576" s="55"/>
      <c r="I576" s="55"/>
      <c r="J576" s="55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>
      <c r="A577" s="12"/>
      <c r="B577" s="12"/>
      <c r="C577" s="12"/>
      <c r="D577" s="12"/>
      <c r="E577" s="12"/>
      <c r="F577" s="55"/>
      <c r="G577" s="55"/>
      <c r="H577" s="55"/>
      <c r="I577" s="55"/>
      <c r="J577" s="55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>
      <c r="A578" s="12"/>
      <c r="B578" s="12"/>
      <c r="C578" s="12"/>
      <c r="D578" s="12"/>
      <c r="E578" s="12"/>
      <c r="F578" s="55"/>
      <c r="G578" s="55"/>
      <c r="H578" s="55"/>
      <c r="I578" s="55"/>
      <c r="J578" s="55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>
      <c r="A579" s="12"/>
      <c r="B579" s="12"/>
      <c r="C579" s="12"/>
      <c r="D579" s="12"/>
      <c r="E579" s="12"/>
      <c r="F579" s="55"/>
      <c r="G579" s="55"/>
      <c r="H579" s="55"/>
      <c r="I579" s="55"/>
      <c r="J579" s="55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>
      <c r="A580" s="12"/>
      <c r="B580" s="12"/>
      <c r="C580" s="12"/>
      <c r="D580" s="12"/>
      <c r="E580" s="12"/>
      <c r="F580" s="55"/>
      <c r="G580" s="55"/>
      <c r="H580" s="55"/>
      <c r="I580" s="55"/>
      <c r="J580" s="55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>
      <c r="A581" s="12"/>
      <c r="B581" s="12"/>
      <c r="C581" s="12"/>
      <c r="D581" s="12"/>
      <c r="E581" s="12"/>
      <c r="F581" s="55"/>
      <c r="G581" s="55"/>
      <c r="H581" s="55"/>
      <c r="I581" s="55"/>
      <c r="J581" s="55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>
      <c r="A582" s="12"/>
      <c r="B582" s="12"/>
      <c r="C582" s="12"/>
      <c r="D582" s="12"/>
      <c r="E582" s="12"/>
      <c r="F582" s="55"/>
      <c r="G582" s="55"/>
      <c r="H582" s="55"/>
      <c r="I582" s="55"/>
      <c r="J582" s="55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>
      <c r="A583" s="12"/>
      <c r="B583" s="12"/>
      <c r="C583" s="12"/>
      <c r="D583" s="12"/>
      <c r="E583" s="12"/>
      <c r="F583" s="55"/>
      <c r="G583" s="55"/>
      <c r="H583" s="55"/>
      <c r="I583" s="55"/>
      <c r="J583" s="55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>
      <c r="A584" s="12"/>
      <c r="B584" s="12"/>
      <c r="C584" s="12"/>
      <c r="D584" s="12"/>
      <c r="E584" s="12"/>
      <c r="F584" s="55"/>
      <c r="G584" s="55"/>
      <c r="H584" s="55"/>
      <c r="I584" s="55"/>
      <c r="J584" s="55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>
      <c r="A585" s="12"/>
      <c r="B585" s="12"/>
      <c r="C585" s="12"/>
      <c r="D585" s="12"/>
      <c r="E585" s="12"/>
      <c r="F585" s="55"/>
      <c r="G585" s="55"/>
      <c r="H585" s="55"/>
      <c r="I585" s="55"/>
      <c r="J585" s="55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>
      <c r="A586" s="12"/>
      <c r="B586" s="12"/>
      <c r="C586" s="12"/>
      <c r="D586" s="12"/>
      <c r="E586" s="12"/>
      <c r="F586" s="55"/>
      <c r="G586" s="55"/>
      <c r="H586" s="55"/>
      <c r="I586" s="55"/>
      <c r="J586" s="55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>
      <c r="A587" s="12"/>
      <c r="B587" s="12"/>
      <c r="C587" s="12"/>
      <c r="D587" s="12"/>
      <c r="E587" s="12"/>
      <c r="F587" s="55"/>
      <c r="G587" s="55"/>
      <c r="H587" s="55"/>
      <c r="I587" s="55"/>
      <c r="J587" s="55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>
      <c r="A588" s="12"/>
      <c r="B588" s="12"/>
      <c r="C588" s="12"/>
      <c r="D588" s="12"/>
      <c r="E588" s="12"/>
      <c r="F588" s="55"/>
      <c r="G588" s="55"/>
      <c r="H588" s="55"/>
      <c r="I588" s="55"/>
      <c r="J588" s="55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>
      <c r="A589" s="12"/>
      <c r="B589" s="12"/>
      <c r="C589" s="12"/>
      <c r="D589" s="12"/>
      <c r="E589" s="12"/>
      <c r="F589" s="55"/>
      <c r="G589" s="55"/>
      <c r="H589" s="55"/>
      <c r="I589" s="55"/>
      <c r="J589" s="55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>
      <c r="A590" s="12"/>
      <c r="B590" s="12"/>
      <c r="C590" s="12"/>
      <c r="D590" s="12"/>
      <c r="E590" s="12"/>
      <c r="F590" s="55"/>
      <c r="G590" s="55"/>
      <c r="H590" s="55"/>
      <c r="I590" s="55"/>
      <c r="J590" s="55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>
      <c r="A591" s="12"/>
      <c r="B591" s="12"/>
      <c r="C591" s="12"/>
      <c r="D591" s="12"/>
      <c r="E591" s="12"/>
      <c r="F591" s="55"/>
      <c r="G591" s="55"/>
      <c r="H591" s="55"/>
      <c r="I591" s="55"/>
      <c r="J591" s="55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>
      <c r="A592" s="12"/>
      <c r="B592" s="12"/>
      <c r="C592" s="12"/>
      <c r="D592" s="12"/>
      <c r="E592" s="12"/>
      <c r="F592" s="55"/>
      <c r="G592" s="55"/>
      <c r="H592" s="55"/>
      <c r="I592" s="55"/>
      <c r="J592" s="55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>
      <c r="A593" s="12"/>
      <c r="B593" s="12"/>
      <c r="C593" s="12"/>
      <c r="D593" s="12"/>
      <c r="E593" s="12"/>
      <c r="F593" s="55"/>
      <c r="G593" s="55"/>
      <c r="H593" s="55"/>
      <c r="I593" s="55"/>
      <c r="J593" s="55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>
      <c r="A594" s="12"/>
      <c r="B594" s="12"/>
      <c r="C594" s="12"/>
      <c r="D594" s="12"/>
      <c r="E594" s="12"/>
      <c r="F594" s="55"/>
      <c r="G594" s="55"/>
      <c r="H594" s="55"/>
      <c r="I594" s="55"/>
      <c r="J594" s="55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>
      <c r="A595" s="12"/>
      <c r="B595" s="12"/>
      <c r="C595" s="12"/>
      <c r="D595" s="12"/>
      <c r="E595" s="12"/>
      <c r="F595" s="55"/>
      <c r="G595" s="55"/>
      <c r="H595" s="55"/>
      <c r="I595" s="55"/>
      <c r="J595" s="55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>
      <c r="A596" s="12"/>
      <c r="B596" s="12"/>
      <c r="C596" s="12"/>
      <c r="D596" s="12"/>
      <c r="E596" s="12"/>
      <c r="F596" s="55"/>
      <c r="G596" s="55"/>
      <c r="H596" s="55"/>
      <c r="I596" s="55"/>
      <c r="J596" s="55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>
      <c r="A597" s="12"/>
      <c r="B597" s="12"/>
      <c r="C597" s="12"/>
      <c r="D597" s="12"/>
      <c r="E597" s="12"/>
      <c r="F597" s="55"/>
      <c r="G597" s="55"/>
      <c r="H597" s="55"/>
      <c r="I597" s="55"/>
      <c r="J597" s="55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>
      <c r="A598" s="12"/>
      <c r="B598" s="12"/>
      <c r="C598" s="12"/>
      <c r="D598" s="12"/>
      <c r="E598" s="12"/>
      <c r="F598" s="55"/>
      <c r="G598" s="55"/>
      <c r="H598" s="55"/>
      <c r="I598" s="55"/>
      <c r="J598" s="55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>
      <c r="A599" s="12"/>
      <c r="B599" s="12"/>
      <c r="C599" s="12"/>
      <c r="D599" s="12"/>
      <c r="E599" s="12"/>
      <c r="F599" s="55"/>
      <c r="G599" s="55"/>
      <c r="H599" s="55"/>
      <c r="I599" s="55"/>
      <c r="J599" s="55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>
      <c r="A600" s="12"/>
      <c r="B600" s="12"/>
      <c r="C600" s="12"/>
      <c r="D600" s="12"/>
      <c r="E600" s="12"/>
      <c r="F600" s="55"/>
      <c r="G600" s="55"/>
      <c r="H600" s="55"/>
      <c r="I600" s="55"/>
      <c r="J600" s="55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>
      <c r="A601" s="12"/>
      <c r="B601" s="12"/>
      <c r="C601" s="12"/>
      <c r="D601" s="12"/>
      <c r="E601" s="12"/>
      <c r="F601" s="55"/>
      <c r="G601" s="55"/>
      <c r="H601" s="55"/>
      <c r="I601" s="55"/>
      <c r="J601" s="55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>
      <c r="A602" s="12"/>
      <c r="B602" s="12"/>
      <c r="C602" s="12"/>
      <c r="D602" s="12"/>
      <c r="E602" s="12"/>
      <c r="F602" s="55"/>
      <c r="G602" s="55"/>
      <c r="H602" s="55"/>
      <c r="I602" s="55"/>
      <c r="J602" s="55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>
      <c r="A603" s="12"/>
      <c r="B603" s="12"/>
      <c r="C603" s="12"/>
      <c r="D603" s="12"/>
      <c r="E603" s="12"/>
      <c r="F603" s="55"/>
      <c r="G603" s="55"/>
      <c r="H603" s="55"/>
      <c r="I603" s="55"/>
      <c r="J603" s="55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>
      <c r="A604" s="12"/>
      <c r="B604" s="12"/>
      <c r="C604" s="12"/>
      <c r="D604" s="12"/>
      <c r="E604" s="12"/>
      <c r="F604" s="55"/>
      <c r="G604" s="55"/>
      <c r="H604" s="55"/>
      <c r="I604" s="55"/>
      <c r="J604" s="55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>
      <c r="A605" s="12"/>
      <c r="B605" s="12"/>
      <c r="C605" s="12"/>
      <c r="D605" s="12"/>
      <c r="E605" s="12"/>
      <c r="F605" s="55"/>
      <c r="G605" s="55"/>
      <c r="H605" s="55"/>
      <c r="I605" s="55"/>
      <c r="J605" s="55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>
      <c r="A606" s="12"/>
      <c r="B606" s="12"/>
      <c r="C606" s="12"/>
      <c r="D606" s="12"/>
      <c r="E606" s="12"/>
      <c r="F606" s="55"/>
      <c r="G606" s="55"/>
      <c r="H606" s="55"/>
      <c r="I606" s="55"/>
      <c r="J606" s="55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>
      <c r="A607" s="12"/>
      <c r="B607" s="12"/>
      <c r="C607" s="12"/>
      <c r="D607" s="12"/>
      <c r="E607" s="12"/>
      <c r="F607" s="55"/>
      <c r="G607" s="55"/>
      <c r="H607" s="55"/>
      <c r="I607" s="55"/>
      <c r="J607" s="55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>
      <c r="A608" s="12"/>
      <c r="B608" s="12"/>
      <c r="C608" s="12"/>
      <c r="D608" s="12"/>
      <c r="E608" s="12"/>
      <c r="F608" s="55"/>
      <c r="G608" s="55"/>
      <c r="H608" s="55"/>
      <c r="I608" s="55"/>
      <c r="J608" s="55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>
      <c r="A609" s="12"/>
      <c r="B609" s="12"/>
      <c r="C609" s="12"/>
      <c r="D609" s="12"/>
      <c r="E609" s="12"/>
      <c r="F609" s="55"/>
      <c r="G609" s="55"/>
      <c r="H609" s="55"/>
      <c r="I609" s="55"/>
      <c r="J609" s="55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>
      <c r="A610" s="12"/>
      <c r="B610" s="12"/>
      <c r="C610" s="12"/>
      <c r="D610" s="12"/>
      <c r="E610" s="12"/>
      <c r="F610" s="55"/>
      <c r="G610" s="55"/>
      <c r="H610" s="55"/>
      <c r="I610" s="55"/>
      <c r="J610" s="55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>
      <c r="A611" s="12"/>
      <c r="B611" s="12"/>
      <c r="C611" s="12"/>
      <c r="D611" s="12"/>
      <c r="E611" s="12"/>
      <c r="F611" s="55"/>
      <c r="G611" s="55"/>
      <c r="H611" s="55"/>
      <c r="I611" s="55"/>
      <c r="J611" s="55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>
      <c r="A612" s="12"/>
      <c r="B612" s="12"/>
      <c r="C612" s="12"/>
      <c r="D612" s="12"/>
      <c r="E612" s="12"/>
      <c r="F612" s="55"/>
      <c r="G612" s="55"/>
      <c r="H612" s="55"/>
      <c r="I612" s="55"/>
      <c r="J612" s="55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>
      <c r="A613" s="12"/>
      <c r="B613" s="12"/>
      <c r="C613" s="12"/>
      <c r="D613" s="12"/>
      <c r="E613" s="12"/>
      <c r="F613" s="55"/>
      <c r="G613" s="55"/>
      <c r="H613" s="55"/>
      <c r="I613" s="55"/>
      <c r="J613" s="55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>
      <c r="A614" s="12"/>
      <c r="B614" s="12"/>
      <c r="C614" s="12"/>
      <c r="D614" s="12"/>
      <c r="E614" s="12"/>
      <c r="F614" s="55"/>
      <c r="G614" s="55"/>
      <c r="H614" s="55"/>
      <c r="I614" s="55"/>
      <c r="J614" s="55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>
      <c r="A615" s="12"/>
      <c r="B615" s="12"/>
      <c r="C615" s="12"/>
      <c r="D615" s="12"/>
      <c r="E615" s="12"/>
      <c r="F615" s="55"/>
      <c r="G615" s="55"/>
      <c r="H615" s="55"/>
      <c r="I615" s="55"/>
      <c r="J615" s="55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>
      <c r="A616" s="12"/>
      <c r="B616" s="12"/>
      <c r="C616" s="12"/>
      <c r="D616" s="12"/>
      <c r="E616" s="12"/>
      <c r="F616" s="55"/>
      <c r="G616" s="55"/>
      <c r="H616" s="55"/>
      <c r="I616" s="55"/>
      <c r="J616" s="55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>
      <c r="A617" s="12"/>
      <c r="B617" s="12"/>
      <c r="C617" s="12"/>
      <c r="D617" s="12"/>
      <c r="E617" s="12"/>
      <c r="F617" s="55"/>
      <c r="G617" s="55"/>
      <c r="H617" s="55"/>
      <c r="I617" s="55"/>
      <c r="J617" s="55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>
      <c r="A618" s="12"/>
      <c r="B618" s="12"/>
      <c r="C618" s="12"/>
      <c r="D618" s="12"/>
      <c r="E618" s="12"/>
      <c r="F618" s="55"/>
      <c r="G618" s="55"/>
      <c r="H618" s="55"/>
      <c r="I618" s="55"/>
      <c r="J618" s="55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>
      <c r="A619" s="12"/>
      <c r="B619" s="12"/>
      <c r="C619" s="12"/>
      <c r="D619" s="12"/>
      <c r="E619" s="12"/>
      <c r="F619" s="55"/>
      <c r="G619" s="55"/>
      <c r="H619" s="55"/>
      <c r="I619" s="55"/>
      <c r="J619" s="55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>
      <c r="A620" s="12"/>
      <c r="B620" s="12"/>
      <c r="C620" s="12"/>
      <c r="D620" s="12"/>
      <c r="E620" s="12"/>
      <c r="F620" s="55"/>
      <c r="G620" s="55"/>
      <c r="H620" s="55"/>
      <c r="I620" s="55"/>
      <c r="J620" s="55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>
      <c r="A621" s="12"/>
      <c r="B621" s="12"/>
      <c r="C621" s="12"/>
      <c r="D621" s="12"/>
      <c r="E621" s="12"/>
      <c r="F621" s="55"/>
      <c r="G621" s="55"/>
      <c r="H621" s="55"/>
      <c r="I621" s="55"/>
      <c r="J621" s="55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>
      <c r="A622" s="12"/>
      <c r="B622" s="12"/>
      <c r="C622" s="12"/>
      <c r="D622" s="12"/>
      <c r="E622" s="12"/>
      <c r="F622" s="55"/>
      <c r="G622" s="55"/>
      <c r="H622" s="55"/>
      <c r="I622" s="55"/>
      <c r="J622" s="55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>
      <c r="A623" s="12"/>
      <c r="B623" s="12"/>
      <c r="C623" s="12"/>
      <c r="D623" s="12"/>
      <c r="E623" s="12"/>
      <c r="F623" s="55"/>
      <c r="G623" s="55"/>
      <c r="H623" s="55"/>
      <c r="I623" s="55"/>
      <c r="J623" s="55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>
      <c r="A624" s="12"/>
      <c r="B624" s="12"/>
      <c r="C624" s="12"/>
      <c r="D624" s="12"/>
      <c r="E624" s="12"/>
      <c r="F624" s="55"/>
      <c r="G624" s="55"/>
      <c r="H624" s="55"/>
      <c r="I624" s="55"/>
      <c r="J624" s="55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>
      <c r="A625" s="12"/>
      <c r="B625" s="12"/>
      <c r="C625" s="12"/>
      <c r="D625" s="12"/>
      <c r="E625" s="12"/>
      <c r="F625" s="55"/>
      <c r="G625" s="55"/>
      <c r="H625" s="55"/>
      <c r="I625" s="55"/>
      <c r="J625" s="55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>
      <c r="A626" s="12"/>
      <c r="B626" s="12"/>
      <c r="C626" s="12"/>
      <c r="D626" s="12"/>
      <c r="E626" s="12"/>
      <c r="F626" s="55"/>
      <c r="G626" s="55"/>
      <c r="H626" s="55"/>
      <c r="I626" s="55"/>
      <c r="J626" s="55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>
      <c r="A627" s="12"/>
      <c r="B627" s="12"/>
      <c r="C627" s="12"/>
      <c r="D627" s="12"/>
      <c r="E627" s="12"/>
      <c r="F627" s="55"/>
      <c r="G627" s="55"/>
      <c r="H627" s="55"/>
      <c r="I627" s="55"/>
      <c r="J627" s="55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>
      <c r="A628" s="12"/>
      <c r="B628" s="12"/>
      <c r="C628" s="12"/>
      <c r="D628" s="12"/>
      <c r="E628" s="12"/>
      <c r="F628" s="55"/>
      <c r="G628" s="55"/>
      <c r="H628" s="55"/>
      <c r="I628" s="55"/>
      <c r="J628" s="55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>
      <c r="A629" s="12"/>
      <c r="B629" s="12"/>
      <c r="C629" s="12"/>
      <c r="D629" s="12"/>
      <c r="E629" s="12"/>
      <c r="F629" s="55"/>
      <c r="G629" s="55"/>
      <c r="H629" s="55"/>
      <c r="I629" s="55"/>
      <c r="J629" s="55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>
      <c r="A630" s="12"/>
      <c r="B630" s="12"/>
      <c r="C630" s="12"/>
      <c r="D630" s="12"/>
      <c r="E630" s="12"/>
      <c r="F630" s="55"/>
      <c r="G630" s="55"/>
      <c r="H630" s="55"/>
      <c r="I630" s="55"/>
      <c r="J630" s="55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>
      <c r="A631" s="12"/>
      <c r="B631" s="12"/>
      <c r="C631" s="12"/>
      <c r="D631" s="12"/>
      <c r="E631" s="12"/>
      <c r="F631" s="55"/>
      <c r="G631" s="55"/>
      <c r="H631" s="55"/>
      <c r="I631" s="55"/>
      <c r="J631" s="55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>
      <c r="A632" s="12"/>
      <c r="B632" s="12"/>
      <c r="C632" s="12"/>
      <c r="D632" s="12"/>
      <c r="E632" s="12"/>
      <c r="F632" s="55"/>
      <c r="G632" s="55"/>
      <c r="H632" s="55"/>
      <c r="I632" s="55"/>
      <c r="J632" s="55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>
      <c r="A633" s="12"/>
      <c r="B633" s="12"/>
      <c r="C633" s="12"/>
      <c r="D633" s="12"/>
      <c r="E633" s="12"/>
      <c r="F633" s="55"/>
      <c r="G633" s="55"/>
      <c r="H633" s="55"/>
      <c r="I633" s="55"/>
      <c r="J633" s="55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>
      <c r="A634" s="12"/>
      <c r="B634" s="12"/>
      <c r="C634" s="12"/>
      <c r="D634" s="12"/>
      <c r="E634" s="12"/>
      <c r="F634" s="55"/>
      <c r="G634" s="55"/>
      <c r="H634" s="55"/>
      <c r="I634" s="55"/>
      <c r="J634" s="55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>
      <c r="A635" s="12"/>
      <c r="B635" s="12"/>
      <c r="C635" s="12"/>
      <c r="D635" s="12"/>
      <c r="E635" s="12"/>
      <c r="F635" s="55"/>
      <c r="G635" s="55"/>
      <c r="H635" s="55"/>
      <c r="I635" s="55"/>
      <c r="J635" s="55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>
      <c r="A636" s="12"/>
      <c r="B636" s="12"/>
      <c r="C636" s="12"/>
      <c r="D636" s="12"/>
      <c r="E636" s="12"/>
      <c r="F636" s="55"/>
      <c r="G636" s="55"/>
      <c r="H636" s="55"/>
      <c r="I636" s="55"/>
      <c r="J636" s="55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>
      <c r="A637" s="12"/>
      <c r="B637" s="12"/>
      <c r="C637" s="12"/>
      <c r="D637" s="12"/>
      <c r="E637" s="12"/>
      <c r="F637" s="55"/>
      <c r="G637" s="55"/>
      <c r="H637" s="55"/>
      <c r="I637" s="55"/>
      <c r="J637" s="55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>
      <c r="A638" s="12"/>
      <c r="B638" s="12"/>
      <c r="C638" s="12"/>
      <c r="D638" s="12"/>
      <c r="E638" s="12"/>
      <c r="F638" s="55"/>
      <c r="G638" s="55"/>
      <c r="H638" s="55"/>
      <c r="I638" s="55"/>
      <c r="J638" s="55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>
      <c r="A639" s="12"/>
      <c r="B639" s="12"/>
      <c r="C639" s="12"/>
      <c r="D639" s="12"/>
      <c r="E639" s="12"/>
      <c r="F639" s="55"/>
      <c r="G639" s="55"/>
      <c r="H639" s="55"/>
      <c r="I639" s="55"/>
      <c r="J639" s="55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>
      <c r="A640" s="12"/>
      <c r="B640" s="12"/>
      <c r="C640" s="12"/>
      <c r="D640" s="12"/>
      <c r="E640" s="12"/>
      <c r="F640" s="55"/>
      <c r="G640" s="55"/>
      <c r="H640" s="55"/>
      <c r="I640" s="55"/>
      <c r="J640" s="55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>
      <c r="A641" s="12"/>
      <c r="B641" s="12"/>
      <c r="C641" s="12"/>
      <c r="D641" s="12"/>
      <c r="E641" s="12"/>
      <c r="F641" s="55"/>
      <c r="G641" s="55"/>
      <c r="H641" s="55"/>
      <c r="I641" s="55"/>
      <c r="J641" s="55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>
      <c r="A642" s="12"/>
      <c r="B642" s="12"/>
      <c r="C642" s="12"/>
      <c r="D642" s="12"/>
      <c r="E642" s="12"/>
      <c r="F642" s="55"/>
      <c r="G642" s="55"/>
      <c r="H642" s="55"/>
      <c r="I642" s="55"/>
      <c r="J642" s="55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>
      <c r="A643" s="12"/>
      <c r="B643" s="12"/>
      <c r="C643" s="12"/>
      <c r="D643" s="12"/>
      <c r="E643" s="12"/>
      <c r="F643" s="55"/>
      <c r="G643" s="55"/>
      <c r="H643" s="55"/>
      <c r="I643" s="55"/>
      <c r="J643" s="55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>
      <c r="A644" s="12"/>
      <c r="B644" s="12"/>
      <c r="C644" s="12"/>
      <c r="D644" s="12"/>
      <c r="E644" s="12"/>
      <c r="F644" s="55"/>
      <c r="G644" s="55"/>
      <c r="H644" s="55"/>
      <c r="I644" s="55"/>
      <c r="J644" s="55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>
      <c r="A645" s="12"/>
      <c r="B645" s="12"/>
      <c r="C645" s="12"/>
      <c r="D645" s="12"/>
      <c r="E645" s="12"/>
      <c r="F645" s="55"/>
      <c r="G645" s="55"/>
      <c r="H645" s="55"/>
      <c r="I645" s="55"/>
      <c r="J645" s="55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>
      <c r="A646" s="12"/>
      <c r="B646" s="12"/>
      <c r="C646" s="12"/>
      <c r="D646" s="12"/>
      <c r="E646" s="12"/>
      <c r="F646" s="55"/>
      <c r="G646" s="55"/>
      <c r="H646" s="55"/>
      <c r="I646" s="55"/>
      <c r="J646" s="55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>
      <c r="A647" s="12"/>
      <c r="B647" s="12"/>
      <c r="C647" s="12"/>
      <c r="D647" s="12"/>
      <c r="E647" s="12"/>
      <c r="F647" s="55"/>
      <c r="G647" s="55"/>
      <c r="H647" s="55"/>
      <c r="I647" s="55"/>
      <c r="J647" s="55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>
      <c r="A648" s="12"/>
      <c r="B648" s="12"/>
      <c r="C648" s="12"/>
      <c r="D648" s="12"/>
      <c r="E648" s="12"/>
      <c r="F648" s="55"/>
      <c r="G648" s="55"/>
      <c r="H648" s="55"/>
      <c r="I648" s="55"/>
      <c r="J648" s="55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>
      <c r="A649" s="12"/>
      <c r="B649" s="12"/>
      <c r="C649" s="12"/>
      <c r="D649" s="12"/>
      <c r="E649" s="12"/>
      <c r="F649" s="55"/>
      <c r="G649" s="55"/>
      <c r="H649" s="55"/>
      <c r="I649" s="55"/>
      <c r="J649" s="55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>
      <c r="A650" s="12"/>
      <c r="B650" s="12"/>
      <c r="C650" s="12"/>
      <c r="D650" s="12"/>
      <c r="E650" s="12"/>
      <c r="F650" s="55"/>
      <c r="G650" s="55"/>
      <c r="H650" s="55"/>
      <c r="I650" s="55"/>
      <c r="J650" s="55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>
      <c r="A651" s="12"/>
      <c r="B651" s="12"/>
      <c r="C651" s="12"/>
      <c r="D651" s="12"/>
      <c r="E651" s="12"/>
      <c r="F651" s="55"/>
      <c r="G651" s="55"/>
      <c r="H651" s="55"/>
      <c r="I651" s="55"/>
      <c r="J651" s="55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>
      <c r="A652" s="12"/>
      <c r="B652" s="12"/>
      <c r="C652" s="12"/>
      <c r="D652" s="12"/>
      <c r="E652" s="12"/>
      <c r="F652" s="55"/>
      <c r="G652" s="55"/>
      <c r="H652" s="55"/>
      <c r="I652" s="55"/>
      <c r="J652" s="55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>
      <c r="A653" s="12"/>
      <c r="B653" s="12"/>
      <c r="C653" s="12"/>
      <c r="D653" s="12"/>
      <c r="E653" s="12"/>
      <c r="F653" s="55"/>
      <c r="G653" s="55"/>
      <c r="H653" s="55"/>
      <c r="I653" s="55"/>
      <c r="J653" s="55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>
      <c r="A654" s="12"/>
      <c r="B654" s="12"/>
      <c r="C654" s="12"/>
      <c r="D654" s="12"/>
      <c r="E654" s="12"/>
      <c r="F654" s="55"/>
      <c r="G654" s="55"/>
      <c r="H654" s="55"/>
      <c r="I654" s="55"/>
      <c r="J654" s="55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>
      <c r="A655" s="12"/>
      <c r="B655" s="12"/>
      <c r="C655" s="12"/>
      <c r="D655" s="12"/>
      <c r="E655" s="12"/>
      <c r="F655" s="55"/>
      <c r="G655" s="55"/>
      <c r="H655" s="55"/>
      <c r="I655" s="55"/>
      <c r="J655" s="55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>
      <c r="A656" s="12"/>
      <c r="B656" s="12"/>
      <c r="C656" s="12"/>
      <c r="D656" s="12"/>
      <c r="E656" s="12"/>
      <c r="F656" s="55"/>
      <c r="G656" s="55"/>
      <c r="H656" s="55"/>
      <c r="I656" s="55"/>
      <c r="J656" s="55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>
      <c r="A657" s="12"/>
      <c r="B657" s="12"/>
      <c r="C657" s="12"/>
      <c r="D657" s="12"/>
      <c r="E657" s="12"/>
      <c r="F657" s="55"/>
      <c r="G657" s="55"/>
      <c r="H657" s="55"/>
      <c r="I657" s="55"/>
      <c r="J657" s="55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>
      <c r="A658" s="12"/>
      <c r="B658" s="12"/>
      <c r="C658" s="12"/>
      <c r="D658" s="12"/>
      <c r="E658" s="12"/>
      <c r="F658" s="55"/>
      <c r="G658" s="55"/>
      <c r="H658" s="55"/>
      <c r="I658" s="55"/>
      <c r="J658" s="55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>
      <c r="A659" s="12"/>
      <c r="B659" s="12"/>
      <c r="C659" s="12"/>
      <c r="D659" s="12"/>
      <c r="E659" s="12"/>
      <c r="F659" s="55"/>
      <c r="G659" s="55"/>
      <c r="H659" s="55"/>
      <c r="I659" s="55"/>
      <c r="J659" s="55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>
      <c r="A660" s="12"/>
      <c r="B660" s="12"/>
      <c r="C660" s="12"/>
      <c r="D660" s="12"/>
      <c r="E660" s="12"/>
      <c r="F660" s="55"/>
      <c r="G660" s="55"/>
      <c r="H660" s="55"/>
      <c r="I660" s="55"/>
      <c r="J660" s="55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>
      <c r="A661" s="12"/>
      <c r="B661" s="12"/>
      <c r="C661" s="12"/>
      <c r="D661" s="12"/>
      <c r="E661" s="12"/>
      <c r="F661" s="55"/>
      <c r="G661" s="55"/>
      <c r="H661" s="55"/>
      <c r="I661" s="55"/>
      <c r="J661" s="55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>
      <c r="A662" s="12"/>
      <c r="B662" s="12"/>
      <c r="C662" s="12"/>
      <c r="D662" s="12"/>
      <c r="E662" s="12"/>
      <c r="F662" s="55"/>
      <c r="G662" s="55"/>
      <c r="H662" s="55"/>
      <c r="I662" s="55"/>
      <c r="J662" s="55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>
      <c r="A663" s="12"/>
      <c r="B663" s="12"/>
      <c r="C663" s="12"/>
      <c r="D663" s="12"/>
      <c r="E663" s="12"/>
      <c r="F663" s="55"/>
      <c r="G663" s="55"/>
      <c r="H663" s="55"/>
      <c r="I663" s="55"/>
      <c r="J663" s="55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>
      <c r="A664" s="12"/>
      <c r="B664" s="12"/>
      <c r="C664" s="12"/>
      <c r="D664" s="12"/>
      <c r="E664" s="12"/>
      <c r="F664" s="55"/>
      <c r="G664" s="55"/>
      <c r="H664" s="55"/>
      <c r="I664" s="55"/>
      <c r="J664" s="55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>
      <c r="A665" s="12"/>
      <c r="B665" s="12"/>
      <c r="C665" s="12"/>
      <c r="D665" s="12"/>
      <c r="E665" s="12"/>
      <c r="F665" s="55"/>
      <c r="G665" s="55"/>
      <c r="H665" s="55"/>
      <c r="I665" s="55"/>
      <c r="J665" s="55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>
      <c r="A666" s="12"/>
      <c r="B666" s="12"/>
      <c r="C666" s="12"/>
      <c r="D666" s="12"/>
      <c r="E666" s="12"/>
      <c r="F666" s="55"/>
      <c r="G666" s="55"/>
      <c r="H666" s="55"/>
      <c r="I666" s="55"/>
      <c r="J666" s="55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>
      <c r="A667" s="12"/>
      <c r="B667" s="12"/>
      <c r="C667" s="12"/>
      <c r="D667" s="12"/>
      <c r="E667" s="12"/>
      <c r="F667" s="55"/>
      <c r="G667" s="55"/>
      <c r="H667" s="55"/>
      <c r="I667" s="55"/>
      <c r="J667" s="55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>
      <c r="A668" s="12"/>
      <c r="B668" s="12"/>
      <c r="C668" s="12"/>
      <c r="D668" s="12"/>
      <c r="E668" s="12"/>
      <c r="F668" s="55"/>
      <c r="G668" s="55"/>
      <c r="H668" s="55"/>
      <c r="I668" s="55"/>
      <c r="J668" s="55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>
      <c r="A669" s="12"/>
      <c r="B669" s="12"/>
      <c r="C669" s="12"/>
      <c r="D669" s="12"/>
      <c r="E669" s="12"/>
      <c r="F669" s="55"/>
      <c r="G669" s="55"/>
      <c r="H669" s="55"/>
      <c r="I669" s="55"/>
      <c r="J669" s="55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>
      <c r="A670" s="12"/>
      <c r="B670" s="12"/>
      <c r="C670" s="12"/>
      <c r="D670" s="12"/>
      <c r="E670" s="12"/>
      <c r="F670" s="55"/>
      <c r="G670" s="55"/>
      <c r="H670" s="55"/>
      <c r="I670" s="55"/>
      <c r="J670" s="55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>
      <c r="A671" s="12"/>
      <c r="B671" s="12"/>
      <c r="C671" s="12"/>
      <c r="D671" s="12"/>
      <c r="E671" s="12"/>
      <c r="F671" s="55"/>
      <c r="G671" s="55"/>
      <c r="H671" s="55"/>
      <c r="I671" s="55"/>
      <c r="J671" s="55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>
      <c r="A672" s="12"/>
      <c r="B672" s="12"/>
      <c r="C672" s="12"/>
      <c r="D672" s="12"/>
      <c r="E672" s="12"/>
      <c r="F672" s="55"/>
      <c r="G672" s="55"/>
      <c r="H672" s="55"/>
      <c r="I672" s="55"/>
      <c r="J672" s="55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>
      <c r="A673" s="12"/>
      <c r="B673" s="12"/>
      <c r="C673" s="12"/>
      <c r="D673" s="12"/>
      <c r="E673" s="12"/>
      <c r="F673" s="55"/>
      <c r="G673" s="55"/>
      <c r="H673" s="55"/>
      <c r="I673" s="55"/>
      <c r="J673" s="55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>
      <c r="A674" s="12"/>
      <c r="B674" s="12"/>
      <c r="C674" s="12"/>
      <c r="D674" s="12"/>
      <c r="E674" s="12"/>
      <c r="F674" s="55"/>
      <c r="G674" s="55"/>
      <c r="H674" s="55"/>
      <c r="I674" s="55"/>
      <c r="J674" s="55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>
      <c r="A675" s="12"/>
      <c r="B675" s="12"/>
      <c r="C675" s="12"/>
      <c r="D675" s="12"/>
      <c r="E675" s="12"/>
      <c r="F675" s="55"/>
      <c r="G675" s="55"/>
      <c r="H675" s="55"/>
      <c r="I675" s="55"/>
      <c r="J675" s="55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>
      <c r="A676" s="12"/>
      <c r="B676" s="12"/>
      <c r="C676" s="12"/>
      <c r="D676" s="12"/>
      <c r="E676" s="12"/>
      <c r="F676" s="55"/>
      <c r="G676" s="55"/>
      <c r="H676" s="55"/>
      <c r="I676" s="55"/>
      <c r="J676" s="55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>
      <c r="A677" s="12"/>
      <c r="B677" s="12"/>
      <c r="C677" s="12"/>
      <c r="D677" s="12"/>
      <c r="E677" s="12"/>
      <c r="F677" s="55"/>
      <c r="G677" s="55"/>
      <c r="H677" s="55"/>
      <c r="I677" s="55"/>
      <c r="J677" s="55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>
      <c r="A678" s="12"/>
      <c r="B678" s="12"/>
      <c r="C678" s="12"/>
      <c r="D678" s="12"/>
      <c r="E678" s="12"/>
      <c r="F678" s="55"/>
      <c r="G678" s="55"/>
      <c r="H678" s="55"/>
      <c r="I678" s="55"/>
      <c r="J678" s="55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>
      <c r="A679" s="12"/>
      <c r="B679" s="12"/>
      <c r="C679" s="12"/>
      <c r="D679" s="12"/>
      <c r="E679" s="12"/>
      <c r="F679" s="55"/>
      <c r="G679" s="55"/>
      <c r="H679" s="55"/>
      <c r="I679" s="55"/>
      <c r="J679" s="55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>
      <c r="A680" s="12"/>
      <c r="B680" s="12"/>
      <c r="C680" s="12"/>
      <c r="D680" s="12"/>
      <c r="E680" s="12"/>
      <c r="F680" s="55"/>
      <c r="G680" s="55"/>
      <c r="H680" s="55"/>
      <c r="I680" s="55"/>
      <c r="J680" s="55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>
      <c r="A681" s="12"/>
      <c r="B681" s="12"/>
      <c r="C681" s="12"/>
      <c r="D681" s="12"/>
      <c r="E681" s="12"/>
      <c r="F681" s="55"/>
      <c r="G681" s="55"/>
      <c r="H681" s="55"/>
      <c r="I681" s="55"/>
      <c r="J681" s="55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>
      <c r="A682" s="12"/>
      <c r="B682" s="12"/>
      <c r="C682" s="12"/>
      <c r="D682" s="12"/>
      <c r="E682" s="12"/>
      <c r="F682" s="55"/>
      <c r="G682" s="55"/>
      <c r="H682" s="55"/>
      <c r="I682" s="55"/>
      <c r="J682" s="55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>
      <c r="A683" s="12"/>
      <c r="B683" s="12"/>
      <c r="C683" s="12"/>
      <c r="D683" s="12"/>
      <c r="E683" s="12"/>
      <c r="F683" s="55"/>
      <c r="G683" s="55"/>
      <c r="H683" s="55"/>
      <c r="I683" s="55"/>
      <c r="J683" s="55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>
      <c r="A684" s="12"/>
      <c r="B684" s="12"/>
      <c r="C684" s="12"/>
      <c r="D684" s="12"/>
      <c r="E684" s="12"/>
      <c r="F684" s="55"/>
      <c r="G684" s="55"/>
      <c r="H684" s="55"/>
      <c r="I684" s="55"/>
      <c r="J684" s="55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>
      <c r="A685" s="12"/>
      <c r="B685" s="12"/>
      <c r="C685" s="12"/>
      <c r="D685" s="12"/>
      <c r="E685" s="12"/>
      <c r="F685" s="55"/>
      <c r="G685" s="55"/>
      <c r="H685" s="55"/>
      <c r="I685" s="55"/>
      <c r="J685" s="55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>
      <c r="A686" s="12"/>
      <c r="B686" s="12"/>
      <c r="C686" s="12"/>
      <c r="D686" s="12"/>
      <c r="E686" s="12"/>
      <c r="F686" s="55"/>
      <c r="G686" s="55"/>
      <c r="H686" s="55"/>
      <c r="I686" s="55"/>
      <c r="J686" s="55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>
      <c r="A687" s="12"/>
      <c r="B687" s="12"/>
      <c r="C687" s="12"/>
      <c r="D687" s="12"/>
      <c r="E687" s="12"/>
      <c r="F687" s="55"/>
      <c r="G687" s="55"/>
      <c r="H687" s="55"/>
      <c r="I687" s="55"/>
      <c r="J687" s="55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>
      <c r="A688" s="12"/>
      <c r="B688" s="12"/>
      <c r="C688" s="12"/>
      <c r="D688" s="12"/>
      <c r="E688" s="12"/>
      <c r="F688" s="55"/>
      <c r="G688" s="55"/>
      <c r="H688" s="55"/>
      <c r="I688" s="55"/>
      <c r="J688" s="55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>
      <c r="A689" s="12"/>
      <c r="B689" s="12"/>
      <c r="C689" s="12"/>
      <c r="D689" s="12"/>
      <c r="E689" s="12"/>
      <c r="F689" s="55"/>
      <c r="G689" s="55"/>
      <c r="H689" s="55"/>
      <c r="I689" s="55"/>
      <c r="J689" s="55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>
      <c r="A690" s="12"/>
      <c r="B690" s="12"/>
      <c r="C690" s="12"/>
      <c r="D690" s="12"/>
      <c r="E690" s="12"/>
      <c r="F690" s="55"/>
      <c r="G690" s="55"/>
      <c r="H690" s="55"/>
      <c r="I690" s="55"/>
      <c r="J690" s="55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>
      <c r="A691" s="12"/>
      <c r="B691" s="12"/>
      <c r="C691" s="12"/>
      <c r="D691" s="12"/>
      <c r="E691" s="12"/>
      <c r="F691" s="55"/>
      <c r="G691" s="55"/>
      <c r="H691" s="55"/>
      <c r="I691" s="55"/>
      <c r="J691" s="55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>
      <c r="A692" s="12"/>
      <c r="B692" s="12"/>
      <c r="C692" s="12"/>
      <c r="D692" s="12"/>
      <c r="E692" s="12"/>
      <c r="F692" s="55"/>
      <c r="G692" s="55"/>
      <c r="H692" s="55"/>
      <c r="I692" s="55"/>
      <c r="J692" s="55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>
      <c r="A693" s="12"/>
      <c r="B693" s="12"/>
      <c r="C693" s="12"/>
      <c r="D693" s="12"/>
      <c r="E693" s="12"/>
      <c r="F693" s="55"/>
      <c r="G693" s="55"/>
      <c r="H693" s="55"/>
      <c r="I693" s="55"/>
      <c r="J693" s="55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>
      <c r="A694" s="12"/>
      <c r="B694" s="12"/>
      <c r="C694" s="12"/>
      <c r="D694" s="12"/>
      <c r="E694" s="12"/>
      <c r="F694" s="55"/>
      <c r="G694" s="55"/>
      <c r="H694" s="55"/>
      <c r="I694" s="55"/>
      <c r="J694" s="55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>
      <c r="A695" s="12"/>
      <c r="B695" s="12"/>
      <c r="C695" s="12"/>
      <c r="D695" s="12"/>
      <c r="E695" s="12"/>
      <c r="F695" s="55"/>
      <c r="G695" s="55"/>
      <c r="H695" s="55"/>
      <c r="I695" s="55"/>
      <c r="J695" s="55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>
      <c r="A696" s="12"/>
      <c r="B696" s="12"/>
      <c r="C696" s="12"/>
      <c r="D696" s="12"/>
      <c r="E696" s="12"/>
      <c r="F696" s="55"/>
      <c r="G696" s="55"/>
      <c r="H696" s="55"/>
      <c r="I696" s="55"/>
      <c r="J696" s="55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>
      <c r="A697" s="12"/>
      <c r="B697" s="12"/>
      <c r="C697" s="12"/>
      <c r="D697" s="12"/>
      <c r="E697" s="12"/>
      <c r="F697" s="55"/>
      <c r="G697" s="55"/>
      <c r="H697" s="55"/>
      <c r="I697" s="55"/>
      <c r="J697" s="55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>
      <c r="A698" s="12"/>
      <c r="B698" s="12"/>
      <c r="C698" s="12"/>
      <c r="D698" s="12"/>
      <c r="E698" s="12"/>
      <c r="F698" s="55"/>
      <c r="G698" s="55"/>
      <c r="H698" s="55"/>
      <c r="I698" s="55"/>
      <c r="J698" s="55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>
      <c r="A699" s="12"/>
      <c r="B699" s="12"/>
      <c r="C699" s="12"/>
      <c r="D699" s="12"/>
      <c r="E699" s="12"/>
      <c r="F699" s="55"/>
      <c r="G699" s="55"/>
      <c r="H699" s="55"/>
      <c r="I699" s="55"/>
      <c r="J699" s="55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>
      <c r="A700" s="12"/>
      <c r="B700" s="12"/>
      <c r="C700" s="12"/>
      <c r="D700" s="12"/>
      <c r="E700" s="12"/>
      <c r="F700" s="55"/>
      <c r="G700" s="55"/>
      <c r="H700" s="55"/>
      <c r="I700" s="55"/>
      <c r="J700" s="55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>
      <c r="A701" s="12"/>
      <c r="B701" s="12"/>
      <c r="C701" s="12"/>
      <c r="D701" s="12"/>
      <c r="E701" s="12"/>
      <c r="F701" s="55"/>
      <c r="G701" s="55"/>
      <c r="H701" s="55"/>
      <c r="I701" s="55"/>
      <c r="J701" s="55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>
      <c r="A702" s="12"/>
      <c r="B702" s="12"/>
      <c r="C702" s="12"/>
      <c r="D702" s="12"/>
      <c r="E702" s="12"/>
      <c r="F702" s="55"/>
      <c r="G702" s="55"/>
      <c r="H702" s="55"/>
      <c r="I702" s="55"/>
      <c r="J702" s="55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>
      <c r="A703" s="12"/>
      <c r="B703" s="12"/>
      <c r="C703" s="12"/>
      <c r="D703" s="12"/>
      <c r="E703" s="12"/>
      <c r="F703" s="55"/>
      <c r="G703" s="55"/>
      <c r="H703" s="55"/>
      <c r="I703" s="55"/>
      <c r="J703" s="55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>
      <c r="A704" s="12"/>
      <c r="B704" s="12"/>
      <c r="C704" s="12"/>
      <c r="D704" s="12"/>
      <c r="E704" s="12"/>
      <c r="F704" s="55"/>
      <c r="G704" s="55"/>
      <c r="H704" s="55"/>
      <c r="I704" s="55"/>
      <c r="J704" s="55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>
      <c r="A705" s="12"/>
      <c r="B705" s="12"/>
      <c r="C705" s="12"/>
      <c r="D705" s="12"/>
      <c r="E705" s="12"/>
      <c r="F705" s="55"/>
      <c r="G705" s="55"/>
      <c r="H705" s="55"/>
      <c r="I705" s="55"/>
      <c r="J705" s="55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>
      <c r="A706" s="12"/>
      <c r="B706" s="12"/>
      <c r="C706" s="12"/>
      <c r="D706" s="12"/>
      <c r="E706" s="12"/>
      <c r="F706" s="55"/>
      <c r="G706" s="55"/>
      <c r="H706" s="55"/>
      <c r="I706" s="55"/>
      <c r="J706" s="55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>
      <c r="A707" s="12"/>
      <c r="B707" s="12"/>
      <c r="C707" s="12"/>
      <c r="D707" s="12"/>
      <c r="E707" s="12"/>
      <c r="F707" s="55"/>
      <c r="G707" s="55"/>
      <c r="H707" s="55"/>
      <c r="I707" s="55"/>
      <c r="J707" s="55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>
      <c r="A708" s="12"/>
      <c r="B708" s="12"/>
      <c r="C708" s="12"/>
      <c r="D708" s="12"/>
      <c r="E708" s="12"/>
      <c r="F708" s="55"/>
      <c r="G708" s="55"/>
      <c r="H708" s="55"/>
      <c r="I708" s="55"/>
      <c r="J708" s="55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>
      <c r="A709" s="12"/>
      <c r="B709" s="12"/>
      <c r="C709" s="12"/>
      <c r="D709" s="12"/>
      <c r="E709" s="12"/>
      <c r="F709" s="55"/>
      <c r="G709" s="55"/>
      <c r="H709" s="55"/>
      <c r="I709" s="55"/>
      <c r="J709" s="55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>
      <c r="A710" s="12"/>
      <c r="B710" s="12"/>
      <c r="C710" s="12"/>
      <c r="D710" s="12"/>
      <c r="E710" s="12"/>
      <c r="F710" s="55"/>
      <c r="G710" s="55"/>
      <c r="H710" s="55"/>
      <c r="I710" s="55"/>
      <c r="J710" s="55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>
      <c r="A711" s="12"/>
      <c r="B711" s="12"/>
      <c r="C711" s="12"/>
      <c r="D711" s="12"/>
      <c r="E711" s="12"/>
      <c r="F711" s="55"/>
      <c r="G711" s="55"/>
      <c r="H711" s="55"/>
      <c r="I711" s="55"/>
      <c r="J711" s="55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>
      <c r="A712" s="12"/>
      <c r="B712" s="12"/>
      <c r="C712" s="12"/>
      <c r="D712" s="12"/>
      <c r="E712" s="12"/>
      <c r="F712" s="55"/>
      <c r="G712" s="55"/>
      <c r="H712" s="55"/>
      <c r="I712" s="55"/>
      <c r="J712" s="55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>
      <c r="A713" s="12"/>
      <c r="B713" s="12"/>
      <c r="C713" s="12"/>
      <c r="D713" s="12"/>
      <c r="E713" s="12"/>
      <c r="F713" s="55"/>
      <c r="G713" s="55"/>
      <c r="H713" s="55"/>
      <c r="I713" s="55"/>
      <c r="J713" s="55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>
      <c r="A714" s="12"/>
      <c r="B714" s="12"/>
      <c r="C714" s="12"/>
      <c r="D714" s="12"/>
      <c r="E714" s="12"/>
      <c r="F714" s="55"/>
      <c r="G714" s="55"/>
      <c r="H714" s="55"/>
      <c r="I714" s="55"/>
      <c r="J714" s="55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>
      <c r="A715" s="12"/>
      <c r="B715" s="12"/>
      <c r="C715" s="12"/>
      <c r="D715" s="12"/>
      <c r="E715" s="12"/>
      <c r="F715" s="55"/>
      <c r="G715" s="55"/>
      <c r="H715" s="55"/>
      <c r="I715" s="55"/>
      <c r="J715" s="55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>
      <c r="A716" s="12"/>
      <c r="B716" s="12"/>
      <c r="C716" s="12"/>
      <c r="D716" s="12"/>
      <c r="E716" s="12"/>
      <c r="F716" s="55"/>
      <c r="G716" s="55"/>
      <c r="H716" s="55"/>
      <c r="I716" s="55"/>
      <c r="J716" s="55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>
      <c r="A717" s="12"/>
      <c r="B717" s="12"/>
      <c r="C717" s="12"/>
      <c r="D717" s="12"/>
      <c r="E717" s="12"/>
      <c r="F717" s="55"/>
      <c r="G717" s="55"/>
      <c r="H717" s="55"/>
      <c r="I717" s="55"/>
      <c r="J717" s="55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>
      <c r="A718" s="12"/>
      <c r="B718" s="12"/>
      <c r="C718" s="12"/>
      <c r="D718" s="12"/>
      <c r="E718" s="12"/>
      <c r="F718" s="55"/>
      <c r="G718" s="55"/>
      <c r="H718" s="55"/>
      <c r="I718" s="55"/>
      <c r="J718" s="55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>
      <c r="A719" s="12"/>
      <c r="B719" s="12"/>
      <c r="C719" s="12"/>
      <c r="D719" s="12"/>
      <c r="E719" s="12"/>
      <c r="F719" s="55"/>
      <c r="G719" s="55"/>
      <c r="H719" s="55"/>
      <c r="I719" s="55"/>
      <c r="J719" s="55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>
      <c r="A720" s="12"/>
      <c r="B720" s="12"/>
      <c r="C720" s="12"/>
      <c r="D720" s="12"/>
      <c r="E720" s="12"/>
      <c r="F720" s="55"/>
      <c r="G720" s="55"/>
      <c r="H720" s="55"/>
      <c r="I720" s="55"/>
      <c r="J720" s="55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>
      <c r="A721" s="12"/>
      <c r="B721" s="12"/>
      <c r="C721" s="12"/>
      <c r="D721" s="12"/>
      <c r="E721" s="12"/>
      <c r="F721" s="55"/>
      <c r="G721" s="55"/>
      <c r="H721" s="55"/>
      <c r="I721" s="55"/>
      <c r="J721" s="55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>
      <c r="A722" s="12"/>
      <c r="B722" s="12"/>
      <c r="C722" s="12"/>
      <c r="D722" s="12"/>
      <c r="E722" s="12"/>
      <c r="F722" s="55"/>
      <c r="G722" s="55"/>
      <c r="H722" s="55"/>
      <c r="I722" s="55"/>
      <c r="J722" s="55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>
      <c r="A723" s="12"/>
      <c r="B723" s="12"/>
      <c r="C723" s="12"/>
      <c r="D723" s="12"/>
      <c r="E723" s="12"/>
      <c r="F723" s="55"/>
      <c r="G723" s="55"/>
      <c r="H723" s="55"/>
      <c r="I723" s="55"/>
      <c r="J723" s="55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>
      <c r="A724" s="12"/>
      <c r="B724" s="12"/>
      <c r="C724" s="12"/>
      <c r="D724" s="12"/>
      <c r="E724" s="12"/>
      <c r="F724" s="55"/>
      <c r="G724" s="55"/>
      <c r="H724" s="55"/>
      <c r="I724" s="55"/>
      <c r="J724" s="55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>
      <c r="A725" s="12"/>
      <c r="B725" s="12"/>
      <c r="C725" s="12"/>
      <c r="D725" s="12"/>
      <c r="E725" s="12"/>
      <c r="F725" s="55"/>
      <c r="G725" s="55"/>
      <c r="H725" s="55"/>
      <c r="I725" s="55"/>
      <c r="J725" s="55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>
      <c r="A726" s="12"/>
      <c r="B726" s="12"/>
      <c r="C726" s="12"/>
      <c r="D726" s="12"/>
      <c r="E726" s="12"/>
      <c r="F726" s="55"/>
      <c r="G726" s="55"/>
      <c r="H726" s="55"/>
      <c r="I726" s="55"/>
      <c r="J726" s="55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>
      <c r="A727" s="12"/>
      <c r="B727" s="12"/>
      <c r="C727" s="12"/>
      <c r="D727" s="12"/>
      <c r="E727" s="12"/>
      <c r="F727" s="55"/>
      <c r="G727" s="55"/>
      <c r="H727" s="55"/>
      <c r="I727" s="55"/>
      <c r="J727" s="55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>
      <c r="A728" s="12"/>
      <c r="B728" s="12"/>
      <c r="C728" s="12"/>
      <c r="D728" s="12"/>
      <c r="E728" s="12"/>
      <c r="F728" s="55"/>
      <c r="G728" s="55"/>
      <c r="H728" s="55"/>
      <c r="I728" s="55"/>
      <c r="J728" s="55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>
      <c r="A729" s="12"/>
      <c r="B729" s="12"/>
      <c r="C729" s="12"/>
      <c r="D729" s="12"/>
      <c r="E729" s="12"/>
      <c r="F729" s="55"/>
      <c r="G729" s="55"/>
      <c r="H729" s="55"/>
      <c r="I729" s="55"/>
      <c r="J729" s="55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>
      <c r="A730" s="12"/>
      <c r="B730" s="12"/>
      <c r="C730" s="12"/>
      <c r="D730" s="12"/>
      <c r="E730" s="12"/>
      <c r="F730" s="55"/>
      <c r="G730" s="55"/>
      <c r="H730" s="55"/>
      <c r="I730" s="55"/>
      <c r="J730" s="55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>
      <c r="A731" s="12"/>
      <c r="B731" s="12"/>
      <c r="C731" s="12"/>
      <c r="D731" s="12"/>
      <c r="E731" s="12"/>
      <c r="F731" s="55"/>
      <c r="G731" s="55"/>
      <c r="H731" s="55"/>
      <c r="I731" s="55"/>
      <c r="J731" s="55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>
      <c r="A732" s="12"/>
      <c r="B732" s="12"/>
      <c r="C732" s="12"/>
      <c r="D732" s="12"/>
      <c r="E732" s="12"/>
      <c r="F732" s="55"/>
      <c r="G732" s="55"/>
      <c r="H732" s="55"/>
      <c r="I732" s="55"/>
      <c r="J732" s="55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>
      <c r="A733" s="12"/>
      <c r="B733" s="12"/>
      <c r="C733" s="12"/>
      <c r="D733" s="12"/>
      <c r="E733" s="12"/>
      <c r="F733" s="55"/>
      <c r="G733" s="55"/>
      <c r="H733" s="55"/>
      <c r="I733" s="55"/>
      <c r="J733" s="55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>
      <c r="A734" s="12"/>
      <c r="B734" s="12"/>
      <c r="C734" s="12"/>
      <c r="D734" s="12"/>
      <c r="E734" s="12"/>
      <c r="F734" s="55"/>
      <c r="G734" s="55"/>
      <c r="H734" s="55"/>
      <c r="I734" s="55"/>
      <c r="J734" s="55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>
      <c r="A735" s="12"/>
      <c r="B735" s="12"/>
      <c r="C735" s="12"/>
      <c r="D735" s="12"/>
      <c r="E735" s="12"/>
      <c r="F735" s="55"/>
      <c r="G735" s="55"/>
      <c r="H735" s="55"/>
      <c r="I735" s="55"/>
      <c r="J735" s="55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>
      <c r="A736" s="12"/>
      <c r="B736" s="12"/>
      <c r="C736" s="12"/>
      <c r="D736" s="12"/>
      <c r="E736" s="12"/>
      <c r="F736" s="55"/>
      <c r="G736" s="55"/>
      <c r="H736" s="55"/>
      <c r="I736" s="55"/>
      <c r="J736" s="55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>
      <c r="A737" s="12"/>
      <c r="B737" s="12"/>
      <c r="C737" s="12"/>
      <c r="D737" s="12"/>
      <c r="E737" s="12"/>
      <c r="F737" s="55"/>
      <c r="G737" s="55"/>
      <c r="H737" s="55"/>
      <c r="I737" s="55"/>
      <c r="J737" s="55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>
      <c r="A738" s="12"/>
      <c r="B738" s="12"/>
      <c r="C738" s="12"/>
      <c r="D738" s="12"/>
      <c r="E738" s="12"/>
      <c r="F738" s="55"/>
      <c r="G738" s="55"/>
      <c r="H738" s="55"/>
      <c r="I738" s="55"/>
      <c r="J738" s="55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>
      <c r="A739" s="12"/>
      <c r="B739" s="12"/>
      <c r="C739" s="12"/>
      <c r="D739" s="12"/>
      <c r="E739" s="12"/>
      <c r="F739" s="55"/>
      <c r="G739" s="55"/>
      <c r="H739" s="55"/>
      <c r="I739" s="55"/>
      <c r="J739" s="55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>
      <c r="A740" s="12"/>
      <c r="B740" s="12"/>
      <c r="C740" s="12"/>
      <c r="D740" s="12"/>
      <c r="E740" s="12"/>
      <c r="F740" s="55"/>
      <c r="G740" s="55"/>
      <c r="H740" s="55"/>
      <c r="I740" s="55"/>
      <c r="J740" s="55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>
      <c r="A741" s="12"/>
      <c r="B741" s="12"/>
      <c r="C741" s="12"/>
      <c r="D741" s="12"/>
      <c r="E741" s="12"/>
      <c r="F741" s="55"/>
      <c r="G741" s="55"/>
      <c r="H741" s="55"/>
      <c r="I741" s="55"/>
      <c r="J741" s="55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>
      <c r="A742" s="12"/>
      <c r="B742" s="12"/>
      <c r="C742" s="12"/>
      <c r="D742" s="12"/>
      <c r="E742" s="12"/>
      <c r="F742" s="55"/>
      <c r="G742" s="55"/>
      <c r="H742" s="55"/>
      <c r="I742" s="55"/>
      <c r="J742" s="55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>
      <c r="A743" s="12"/>
      <c r="B743" s="12"/>
      <c r="C743" s="12"/>
      <c r="D743" s="12"/>
      <c r="E743" s="12"/>
      <c r="F743" s="55"/>
      <c r="G743" s="55"/>
      <c r="H743" s="55"/>
      <c r="I743" s="55"/>
      <c r="J743" s="55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>
      <c r="A744" s="12"/>
      <c r="B744" s="12"/>
      <c r="C744" s="12"/>
      <c r="D744" s="12"/>
      <c r="E744" s="12"/>
      <c r="F744" s="55"/>
      <c r="G744" s="55"/>
      <c r="H744" s="55"/>
      <c r="I744" s="55"/>
      <c r="J744" s="55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>
      <c r="A745" s="12"/>
      <c r="B745" s="12"/>
      <c r="C745" s="12"/>
      <c r="D745" s="12"/>
      <c r="E745" s="12"/>
      <c r="F745" s="55"/>
      <c r="G745" s="55"/>
      <c r="H745" s="55"/>
      <c r="I745" s="55"/>
      <c r="J745" s="55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>
      <c r="A746" s="12"/>
      <c r="B746" s="12"/>
      <c r="C746" s="12"/>
      <c r="D746" s="12"/>
      <c r="E746" s="12"/>
      <c r="F746" s="55"/>
      <c r="G746" s="55"/>
      <c r="H746" s="55"/>
      <c r="I746" s="55"/>
      <c r="J746" s="55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>
      <c r="A747" s="12"/>
      <c r="B747" s="12"/>
      <c r="C747" s="12"/>
      <c r="D747" s="12"/>
      <c r="E747" s="12"/>
      <c r="F747" s="55"/>
      <c r="G747" s="55"/>
      <c r="H747" s="55"/>
      <c r="I747" s="55"/>
      <c r="J747" s="55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>
      <c r="A748" s="12"/>
      <c r="B748" s="12"/>
      <c r="C748" s="12"/>
      <c r="D748" s="12"/>
      <c r="E748" s="12"/>
      <c r="F748" s="55"/>
      <c r="G748" s="55"/>
      <c r="H748" s="55"/>
      <c r="I748" s="55"/>
      <c r="J748" s="55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>
      <c r="A749" s="12"/>
      <c r="B749" s="12"/>
      <c r="C749" s="12"/>
      <c r="D749" s="12"/>
      <c r="E749" s="12"/>
      <c r="F749" s="55"/>
      <c r="G749" s="55"/>
      <c r="H749" s="55"/>
      <c r="I749" s="55"/>
      <c r="J749" s="55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>
      <c r="A750" s="12"/>
      <c r="B750" s="12"/>
      <c r="C750" s="12"/>
      <c r="D750" s="12"/>
      <c r="E750" s="12"/>
      <c r="F750" s="55"/>
      <c r="G750" s="55"/>
      <c r="H750" s="55"/>
      <c r="I750" s="55"/>
      <c r="J750" s="55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>
      <c r="A751" s="12"/>
      <c r="B751" s="12"/>
      <c r="C751" s="12"/>
      <c r="D751" s="12"/>
      <c r="E751" s="12"/>
      <c r="F751" s="55"/>
      <c r="G751" s="55"/>
      <c r="H751" s="55"/>
      <c r="I751" s="55"/>
      <c r="J751" s="55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>
      <c r="A752" s="12"/>
      <c r="B752" s="12"/>
      <c r="C752" s="12"/>
      <c r="D752" s="12"/>
      <c r="E752" s="12"/>
      <c r="F752" s="55"/>
      <c r="G752" s="55"/>
      <c r="H752" s="55"/>
      <c r="I752" s="55"/>
      <c r="J752" s="55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>
      <c r="A753" s="12"/>
      <c r="B753" s="12"/>
      <c r="C753" s="12"/>
      <c r="D753" s="12"/>
      <c r="E753" s="12"/>
      <c r="F753" s="55"/>
      <c r="G753" s="55"/>
      <c r="H753" s="55"/>
      <c r="I753" s="55"/>
      <c r="J753" s="55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>
      <c r="A754" s="12"/>
      <c r="B754" s="12"/>
      <c r="C754" s="12"/>
      <c r="D754" s="12"/>
      <c r="E754" s="12"/>
      <c r="F754" s="55"/>
      <c r="G754" s="55"/>
      <c r="H754" s="55"/>
      <c r="I754" s="55"/>
      <c r="J754" s="55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>
      <c r="A755" s="12"/>
      <c r="B755" s="12"/>
      <c r="C755" s="12"/>
      <c r="D755" s="12"/>
      <c r="E755" s="12"/>
      <c r="F755" s="55"/>
      <c r="G755" s="55"/>
      <c r="H755" s="55"/>
      <c r="I755" s="55"/>
      <c r="J755" s="55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>
      <c r="A756" s="12"/>
      <c r="B756" s="12"/>
      <c r="C756" s="12"/>
      <c r="D756" s="12"/>
      <c r="E756" s="12"/>
      <c r="F756" s="55"/>
      <c r="G756" s="55"/>
      <c r="H756" s="55"/>
      <c r="I756" s="55"/>
      <c r="J756" s="55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>
      <c r="A757" s="12"/>
      <c r="B757" s="12"/>
      <c r="C757" s="12"/>
      <c r="D757" s="12"/>
      <c r="E757" s="12"/>
      <c r="F757" s="55"/>
      <c r="G757" s="55"/>
      <c r="H757" s="55"/>
      <c r="I757" s="55"/>
      <c r="J757" s="55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>
      <c r="A758" s="12"/>
      <c r="B758" s="12"/>
      <c r="C758" s="12"/>
      <c r="D758" s="12"/>
      <c r="E758" s="12"/>
      <c r="F758" s="55"/>
      <c r="G758" s="55"/>
      <c r="H758" s="55"/>
      <c r="I758" s="55"/>
      <c r="J758" s="55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>
      <c r="A759" s="12"/>
      <c r="B759" s="12"/>
      <c r="C759" s="12"/>
      <c r="D759" s="12"/>
      <c r="E759" s="12"/>
      <c r="F759" s="55"/>
      <c r="G759" s="55"/>
      <c r="H759" s="55"/>
      <c r="I759" s="55"/>
      <c r="J759" s="55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>
      <c r="A760" s="12"/>
      <c r="B760" s="12"/>
      <c r="C760" s="12"/>
      <c r="D760" s="12"/>
      <c r="E760" s="12"/>
      <c r="F760" s="55"/>
      <c r="G760" s="55"/>
      <c r="H760" s="55"/>
      <c r="I760" s="55"/>
      <c r="J760" s="55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>
      <c r="A761" s="12"/>
      <c r="B761" s="12"/>
      <c r="C761" s="12"/>
      <c r="D761" s="12"/>
      <c r="E761" s="12"/>
      <c r="F761" s="55"/>
      <c r="G761" s="55"/>
      <c r="H761" s="55"/>
      <c r="I761" s="55"/>
      <c r="J761" s="55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>
      <c r="A762" s="12"/>
      <c r="B762" s="12"/>
      <c r="C762" s="12"/>
      <c r="D762" s="12"/>
      <c r="E762" s="12"/>
      <c r="F762" s="55"/>
      <c r="G762" s="55"/>
      <c r="H762" s="55"/>
      <c r="I762" s="55"/>
      <c r="J762" s="55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>
      <c r="A763" s="12"/>
      <c r="B763" s="12"/>
      <c r="C763" s="12"/>
      <c r="D763" s="12"/>
      <c r="E763" s="12"/>
      <c r="F763" s="55"/>
      <c r="G763" s="55"/>
      <c r="H763" s="55"/>
      <c r="I763" s="55"/>
      <c r="J763" s="55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>
      <c r="A764" s="12"/>
      <c r="B764" s="12"/>
      <c r="C764" s="12"/>
      <c r="D764" s="12"/>
      <c r="E764" s="12"/>
      <c r="F764" s="55"/>
      <c r="G764" s="55"/>
      <c r="H764" s="55"/>
      <c r="I764" s="55"/>
      <c r="J764" s="55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>
      <c r="A765" s="12"/>
      <c r="B765" s="12"/>
      <c r="C765" s="12"/>
      <c r="D765" s="12"/>
      <c r="E765" s="12"/>
      <c r="F765" s="55"/>
      <c r="G765" s="55"/>
      <c r="H765" s="55"/>
      <c r="I765" s="55"/>
      <c r="J765" s="55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>
      <c r="A766" s="12"/>
      <c r="B766" s="12"/>
      <c r="C766" s="12"/>
      <c r="D766" s="12"/>
      <c r="E766" s="12"/>
      <c r="F766" s="55"/>
      <c r="G766" s="55"/>
      <c r="H766" s="55"/>
      <c r="I766" s="55"/>
      <c r="J766" s="55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>
      <c r="A767" s="12"/>
      <c r="B767" s="12"/>
      <c r="C767" s="12"/>
      <c r="D767" s="12"/>
      <c r="E767" s="12"/>
      <c r="F767" s="55"/>
      <c r="G767" s="55"/>
      <c r="H767" s="55"/>
      <c r="I767" s="55"/>
      <c r="J767" s="55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>
      <c r="A768" s="12"/>
      <c r="B768" s="12"/>
      <c r="C768" s="12"/>
      <c r="D768" s="12"/>
      <c r="E768" s="12"/>
      <c r="F768" s="55"/>
      <c r="G768" s="55"/>
      <c r="H768" s="55"/>
      <c r="I768" s="55"/>
      <c r="J768" s="55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>
      <c r="A769" s="12"/>
      <c r="B769" s="12"/>
      <c r="C769" s="12"/>
      <c r="D769" s="12"/>
      <c r="E769" s="12"/>
      <c r="F769" s="55"/>
      <c r="G769" s="55"/>
      <c r="H769" s="55"/>
      <c r="I769" s="55"/>
      <c r="J769" s="55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>
      <c r="A770" s="12"/>
      <c r="B770" s="12"/>
      <c r="C770" s="12"/>
      <c r="D770" s="12"/>
      <c r="E770" s="12"/>
      <c r="F770" s="55"/>
      <c r="G770" s="55"/>
      <c r="H770" s="55"/>
      <c r="I770" s="55"/>
      <c r="J770" s="55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>
      <c r="A771" s="12"/>
      <c r="B771" s="12"/>
      <c r="C771" s="12"/>
      <c r="D771" s="12"/>
      <c r="E771" s="12"/>
      <c r="F771" s="55"/>
      <c r="G771" s="55"/>
      <c r="H771" s="55"/>
      <c r="I771" s="55"/>
      <c r="J771" s="55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>
      <c r="A772" s="12"/>
      <c r="B772" s="12"/>
      <c r="C772" s="12"/>
      <c r="D772" s="12"/>
      <c r="E772" s="12"/>
      <c r="F772" s="55"/>
      <c r="G772" s="55"/>
      <c r="H772" s="55"/>
      <c r="I772" s="55"/>
      <c r="J772" s="55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>
      <c r="A773" s="12"/>
      <c r="B773" s="12"/>
      <c r="C773" s="12"/>
      <c r="D773" s="12"/>
      <c r="E773" s="12"/>
      <c r="F773" s="55"/>
      <c r="G773" s="55"/>
      <c r="H773" s="55"/>
      <c r="I773" s="55"/>
      <c r="J773" s="55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>
      <c r="A774" s="12"/>
      <c r="B774" s="12"/>
      <c r="C774" s="12"/>
      <c r="D774" s="12"/>
      <c r="E774" s="12"/>
      <c r="F774" s="55"/>
      <c r="G774" s="55"/>
      <c r="H774" s="55"/>
      <c r="I774" s="55"/>
      <c r="J774" s="55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>
      <c r="A775" s="12"/>
      <c r="B775" s="12"/>
      <c r="C775" s="12"/>
      <c r="D775" s="12"/>
      <c r="E775" s="12"/>
      <c r="F775" s="55"/>
      <c r="G775" s="55"/>
      <c r="H775" s="55"/>
      <c r="I775" s="55"/>
      <c r="J775" s="55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>
      <c r="A776" s="12"/>
      <c r="B776" s="12"/>
      <c r="C776" s="12"/>
      <c r="D776" s="12"/>
      <c r="E776" s="12"/>
      <c r="F776" s="55"/>
      <c r="G776" s="55"/>
      <c r="H776" s="55"/>
      <c r="I776" s="55"/>
      <c r="J776" s="55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>
      <c r="A777" s="12"/>
      <c r="B777" s="12"/>
      <c r="C777" s="12"/>
      <c r="D777" s="12"/>
      <c r="E777" s="12"/>
      <c r="F777" s="55"/>
      <c r="G777" s="55"/>
      <c r="H777" s="55"/>
      <c r="I777" s="55"/>
      <c r="J777" s="55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>
      <c r="A778" s="12"/>
      <c r="B778" s="12"/>
      <c r="C778" s="12"/>
      <c r="D778" s="12"/>
      <c r="E778" s="12"/>
      <c r="F778" s="55"/>
      <c r="G778" s="55"/>
      <c r="H778" s="55"/>
      <c r="I778" s="55"/>
      <c r="J778" s="55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>
      <c r="A779" s="12"/>
      <c r="B779" s="12"/>
      <c r="C779" s="12"/>
      <c r="D779" s="12"/>
      <c r="E779" s="12"/>
      <c r="F779" s="55"/>
      <c r="G779" s="55"/>
      <c r="H779" s="55"/>
      <c r="I779" s="55"/>
      <c r="J779" s="55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>
      <c r="A780" s="12"/>
      <c r="B780" s="12"/>
      <c r="C780" s="12"/>
      <c r="D780" s="12"/>
      <c r="E780" s="12"/>
      <c r="F780" s="55"/>
      <c r="G780" s="55"/>
      <c r="H780" s="55"/>
      <c r="I780" s="55"/>
      <c r="J780" s="55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>
      <c r="A781" s="12"/>
      <c r="B781" s="12"/>
      <c r="C781" s="12"/>
      <c r="D781" s="12"/>
      <c r="E781" s="12"/>
      <c r="F781" s="55"/>
      <c r="G781" s="55"/>
      <c r="H781" s="55"/>
      <c r="I781" s="55"/>
      <c r="J781" s="55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>
      <c r="A782" s="12"/>
      <c r="B782" s="12"/>
      <c r="C782" s="12"/>
      <c r="D782" s="12"/>
      <c r="E782" s="12"/>
      <c r="F782" s="55"/>
      <c r="G782" s="55"/>
      <c r="H782" s="55"/>
      <c r="I782" s="55"/>
      <c r="J782" s="55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>
      <c r="A783" s="12"/>
      <c r="B783" s="12"/>
      <c r="C783" s="12"/>
      <c r="D783" s="12"/>
      <c r="E783" s="12"/>
      <c r="F783" s="55"/>
      <c r="G783" s="55"/>
      <c r="H783" s="55"/>
      <c r="I783" s="55"/>
      <c r="J783" s="55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>
      <c r="A784" s="12"/>
      <c r="B784" s="12"/>
      <c r="C784" s="12"/>
      <c r="D784" s="12"/>
      <c r="E784" s="12"/>
      <c r="F784" s="55"/>
      <c r="G784" s="55"/>
      <c r="H784" s="55"/>
      <c r="I784" s="55"/>
      <c r="J784" s="55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>
      <c r="A785" s="12"/>
      <c r="B785" s="12"/>
      <c r="C785" s="12"/>
      <c r="D785" s="12"/>
      <c r="E785" s="12"/>
      <c r="F785" s="55"/>
      <c r="G785" s="55"/>
      <c r="H785" s="55"/>
      <c r="I785" s="55"/>
      <c r="J785" s="55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>
      <c r="A786" s="12"/>
      <c r="B786" s="12"/>
      <c r="C786" s="12"/>
      <c r="D786" s="12"/>
      <c r="E786" s="12"/>
      <c r="F786" s="55"/>
      <c r="G786" s="55"/>
      <c r="H786" s="55"/>
      <c r="I786" s="55"/>
      <c r="J786" s="55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>
      <c r="A787" s="12"/>
      <c r="B787" s="12"/>
      <c r="C787" s="12"/>
      <c r="D787" s="12"/>
      <c r="E787" s="12"/>
      <c r="F787" s="55"/>
      <c r="G787" s="55"/>
      <c r="H787" s="55"/>
      <c r="I787" s="55"/>
      <c r="J787" s="55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>
      <c r="A788" s="12"/>
      <c r="B788" s="12"/>
      <c r="C788" s="12"/>
      <c r="D788" s="12"/>
      <c r="E788" s="12"/>
      <c r="F788" s="55"/>
      <c r="G788" s="55"/>
      <c r="H788" s="55"/>
      <c r="I788" s="55"/>
      <c r="J788" s="55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>
      <c r="A789" s="12"/>
      <c r="B789" s="12"/>
      <c r="C789" s="12"/>
      <c r="D789" s="12"/>
      <c r="E789" s="12"/>
      <c r="F789" s="55"/>
      <c r="G789" s="55"/>
      <c r="H789" s="55"/>
      <c r="I789" s="55"/>
      <c r="J789" s="55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>
      <c r="A790" s="12"/>
      <c r="B790" s="12"/>
      <c r="C790" s="12"/>
      <c r="D790" s="12"/>
      <c r="E790" s="12"/>
      <c r="F790" s="55"/>
      <c r="G790" s="55"/>
      <c r="H790" s="55"/>
      <c r="I790" s="55"/>
      <c r="J790" s="55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>
      <c r="A791" s="12"/>
      <c r="B791" s="12"/>
      <c r="C791" s="12"/>
      <c r="D791" s="12"/>
      <c r="E791" s="12"/>
      <c r="F791" s="55"/>
      <c r="G791" s="55"/>
      <c r="H791" s="55"/>
      <c r="I791" s="55"/>
      <c r="J791" s="55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>
      <c r="A792" s="12"/>
      <c r="B792" s="12"/>
      <c r="C792" s="12"/>
      <c r="D792" s="12"/>
      <c r="E792" s="12"/>
      <c r="F792" s="55"/>
      <c r="G792" s="55"/>
      <c r="H792" s="55"/>
      <c r="I792" s="55"/>
      <c r="J792" s="55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>
      <c r="A793" s="12"/>
      <c r="B793" s="12"/>
      <c r="C793" s="12"/>
      <c r="D793" s="12"/>
      <c r="E793" s="12"/>
      <c r="F793" s="55"/>
      <c r="G793" s="55"/>
      <c r="H793" s="55"/>
      <c r="I793" s="55"/>
      <c r="J793" s="55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>
      <c r="A794" s="12"/>
      <c r="B794" s="12"/>
      <c r="C794" s="12"/>
      <c r="D794" s="12"/>
      <c r="E794" s="12"/>
      <c r="F794" s="55"/>
      <c r="G794" s="55"/>
      <c r="H794" s="55"/>
      <c r="I794" s="55"/>
      <c r="J794" s="55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>
      <c r="A795" s="12"/>
      <c r="B795" s="12"/>
      <c r="C795" s="12"/>
      <c r="D795" s="12"/>
      <c r="E795" s="12"/>
      <c r="F795" s="55"/>
      <c r="G795" s="55"/>
      <c r="H795" s="55"/>
      <c r="I795" s="55"/>
      <c r="J795" s="55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>
      <c r="A796" s="12"/>
      <c r="B796" s="12"/>
      <c r="C796" s="12"/>
      <c r="D796" s="12"/>
      <c r="E796" s="12"/>
      <c r="F796" s="55"/>
      <c r="G796" s="55"/>
      <c r="H796" s="55"/>
      <c r="I796" s="55"/>
      <c r="J796" s="55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>
      <c r="A797" s="12"/>
      <c r="B797" s="12"/>
      <c r="C797" s="12"/>
      <c r="D797" s="12"/>
      <c r="E797" s="12"/>
      <c r="F797" s="55"/>
      <c r="G797" s="55"/>
      <c r="H797" s="55"/>
      <c r="I797" s="55"/>
      <c r="J797" s="55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>
      <c r="A798" s="12"/>
      <c r="B798" s="12"/>
      <c r="C798" s="12"/>
      <c r="D798" s="12"/>
      <c r="E798" s="12"/>
      <c r="F798" s="55"/>
      <c r="G798" s="55"/>
      <c r="H798" s="55"/>
      <c r="I798" s="55"/>
      <c r="J798" s="55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>
      <c r="A799" s="12"/>
      <c r="B799" s="12"/>
      <c r="C799" s="12"/>
      <c r="D799" s="12"/>
      <c r="E799" s="12"/>
      <c r="F799" s="55"/>
      <c r="G799" s="55"/>
      <c r="H799" s="55"/>
      <c r="I799" s="55"/>
      <c r="J799" s="55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>
      <c r="A800" s="12"/>
      <c r="B800" s="12"/>
      <c r="C800" s="12"/>
      <c r="D800" s="12"/>
      <c r="E800" s="12"/>
      <c r="F800" s="55"/>
      <c r="G800" s="55"/>
      <c r="H800" s="55"/>
      <c r="I800" s="55"/>
      <c r="J800" s="55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>
      <c r="A801" s="12"/>
      <c r="B801" s="12"/>
      <c r="C801" s="12"/>
      <c r="D801" s="12"/>
      <c r="E801" s="12"/>
      <c r="F801" s="55"/>
      <c r="G801" s="55"/>
      <c r="H801" s="55"/>
      <c r="I801" s="55"/>
      <c r="J801" s="55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>
      <c r="A802" s="12"/>
      <c r="B802" s="12"/>
      <c r="C802" s="12"/>
      <c r="D802" s="12"/>
      <c r="E802" s="12"/>
      <c r="F802" s="55"/>
      <c r="G802" s="55"/>
      <c r="H802" s="55"/>
      <c r="I802" s="55"/>
      <c r="J802" s="55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>
      <c r="A803" s="12"/>
      <c r="B803" s="12"/>
      <c r="C803" s="12"/>
      <c r="D803" s="12"/>
      <c r="E803" s="12"/>
      <c r="F803" s="55"/>
      <c r="G803" s="55"/>
      <c r="H803" s="55"/>
      <c r="I803" s="55"/>
      <c r="J803" s="55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>
      <c r="A804" s="12"/>
      <c r="B804" s="12"/>
      <c r="C804" s="12"/>
      <c r="D804" s="12"/>
      <c r="E804" s="12"/>
      <c r="F804" s="55"/>
      <c r="G804" s="55"/>
      <c r="H804" s="55"/>
      <c r="I804" s="55"/>
      <c r="J804" s="55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>
      <c r="A805" s="12"/>
      <c r="B805" s="12"/>
      <c r="C805" s="12"/>
      <c r="D805" s="12"/>
      <c r="E805" s="12"/>
      <c r="F805" s="55"/>
      <c r="G805" s="55"/>
      <c r="H805" s="55"/>
      <c r="I805" s="55"/>
      <c r="J805" s="55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>
      <c r="A806" s="12"/>
      <c r="B806" s="12"/>
      <c r="C806" s="12"/>
      <c r="D806" s="12"/>
      <c r="E806" s="12"/>
      <c r="F806" s="55"/>
      <c r="G806" s="55"/>
      <c r="H806" s="55"/>
      <c r="I806" s="55"/>
      <c r="J806" s="55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>
      <c r="A807" s="12"/>
      <c r="B807" s="12"/>
      <c r="C807" s="12"/>
      <c r="D807" s="12"/>
      <c r="E807" s="12"/>
      <c r="F807" s="55"/>
      <c r="G807" s="55"/>
      <c r="H807" s="55"/>
      <c r="I807" s="55"/>
      <c r="J807" s="55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>
      <c r="A808" s="12"/>
      <c r="B808" s="12"/>
      <c r="C808" s="12"/>
      <c r="D808" s="12"/>
      <c r="E808" s="12"/>
      <c r="F808" s="55"/>
      <c r="G808" s="55"/>
      <c r="H808" s="55"/>
      <c r="I808" s="55"/>
      <c r="J808" s="55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>
      <c r="A809" s="12"/>
      <c r="B809" s="12"/>
      <c r="C809" s="12"/>
      <c r="D809" s="12"/>
      <c r="E809" s="12"/>
      <c r="F809" s="55"/>
      <c r="G809" s="55"/>
      <c r="H809" s="55"/>
      <c r="I809" s="55"/>
      <c r="J809" s="55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>
      <c r="A810" s="12"/>
      <c r="B810" s="12"/>
      <c r="C810" s="12"/>
      <c r="D810" s="12"/>
      <c r="E810" s="12"/>
      <c r="F810" s="55"/>
      <c r="G810" s="55"/>
      <c r="H810" s="55"/>
      <c r="I810" s="55"/>
      <c r="J810" s="55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>
      <c r="A811" s="12"/>
      <c r="B811" s="12"/>
      <c r="C811" s="12"/>
      <c r="D811" s="12"/>
      <c r="E811" s="12"/>
      <c r="F811" s="55"/>
      <c r="G811" s="55"/>
      <c r="H811" s="55"/>
      <c r="I811" s="55"/>
      <c r="J811" s="55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>
      <c r="A812" s="12"/>
      <c r="B812" s="12"/>
      <c r="C812" s="12"/>
      <c r="D812" s="12"/>
      <c r="E812" s="12"/>
      <c r="F812" s="55"/>
      <c r="G812" s="55"/>
      <c r="H812" s="55"/>
      <c r="I812" s="55"/>
      <c r="J812" s="55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>
      <c r="A813" s="12"/>
      <c r="B813" s="12"/>
      <c r="C813" s="12"/>
      <c r="D813" s="12"/>
      <c r="E813" s="12"/>
      <c r="F813" s="55"/>
      <c r="G813" s="55"/>
      <c r="H813" s="55"/>
      <c r="I813" s="55"/>
      <c r="J813" s="55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>
      <c r="A814" s="12"/>
      <c r="B814" s="12"/>
      <c r="C814" s="12"/>
      <c r="D814" s="12"/>
      <c r="E814" s="12"/>
      <c r="F814" s="55"/>
      <c r="G814" s="55"/>
      <c r="H814" s="55"/>
      <c r="I814" s="55"/>
      <c r="J814" s="55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>
      <c r="A815" s="12"/>
      <c r="B815" s="12"/>
      <c r="C815" s="12"/>
      <c r="D815" s="12"/>
      <c r="E815" s="12"/>
      <c r="F815" s="55"/>
      <c r="G815" s="55"/>
      <c r="H815" s="55"/>
      <c r="I815" s="55"/>
      <c r="J815" s="55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>
      <c r="A816" s="12"/>
      <c r="B816" s="12"/>
      <c r="C816" s="12"/>
      <c r="D816" s="12"/>
      <c r="E816" s="12"/>
      <c r="F816" s="55"/>
      <c r="G816" s="55"/>
      <c r="H816" s="55"/>
      <c r="I816" s="55"/>
      <c r="J816" s="55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>
      <c r="A817" s="12"/>
      <c r="B817" s="12"/>
      <c r="C817" s="12"/>
      <c r="D817" s="12"/>
      <c r="E817" s="12"/>
      <c r="F817" s="55"/>
      <c r="G817" s="55"/>
      <c r="H817" s="55"/>
      <c r="I817" s="55"/>
      <c r="J817" s="55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>
      <c r="A818" s="12"/>
      <c r="B818" s="12"/>
      <c r="C818" s="12"/>
      <c r="D818" s="12"/>
      <c r="E818" s="12"/>
      <c r="F818" s="55"/>
      <c r="G818" s="55"/>
      <c r="H818" s="55"/>
      <c r="I818" s="55"/>
      <c r="J818" s="55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>
      <c r="A819" s="12"/>
      <c r="B819" s="12"/>
      <c r="C819" s="12"/>
      <c r="D819" s="12"/>
      <c r="E819" s="12"/>
      <c r="F819" s="55"/>
      <c r="G819" s="55"/>
      <c r="H819" s="55"/>
      <c r="I819" s="55"/>
      <c r="J819" s="55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>
      <c r="A820" s="12"/>
      <c r="B820" s="12"/>
      <c r="C820" s="12"/>
      <c r="D820" s="12"/>
      <c r="E820" s="12"/>
      <c r="F820" s="55"/>
      <c r="G820" s="55"/>
      <c r="H820" s="55"/>
      <c r="I820" s="55"/>
      <c r="J820" s="55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>
      <c r="A821" s="12"/>
      <c r="B821" s="12"/>
      <c r="C821" s="12"/>
      <c r="D821" s="12"/>
      <c r="E821" s="12"/>
      <c r="F821" s="55"/>
      <c r="G821" s="55"/>
      <c r="H821" s="55"/>
      <c r="I821" s="55"/>
      <c r="J821" s="55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>
      <c r="A822" s="12"/>
      <c r="B822" s="12"/>
      <c r="C822" s="12"/>
      <c r="D822" s="12"/>
      <c r="E822" s="12"/>
      <c r="F822" s="55"/>
      <c r="G822" s="55"/>
      <c r="H822" s="55"/>
      <c r="I822" s="55"/>
      <c r="J822" s="55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>
      <c r="A823" s="12"/>
      <c r="B823" s="12"/>
      <c r="C823" s="12"/>
      <c r="D823" s="12"/>
      <c r="E823" s="12"/>
      <c r="F823" s="55"/>
      <c r="G823" s="55"/>
      <c r="H823" s="55"/>
      <c r="I823" s="55"/>
      <c r="J823" s="55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>
      <c r="A824" s="12"/>
      <c r="B824" s="12"/>
      <c r="C824" s="12"/>
      <c r="D824" s="12"/>
      <c r="E824" s="12"/>
      <c r="F824" s="55"/>
      <c r="G824" s="55"/>
      <c r="H824" s="55"/>
      <c r="I824" s="55"/>
      <c r="J824" s="55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>
      <c r="A825" s="12"/>
      <c r="B825" s="12"/>
      <c r="C825" s="12"/>
      <c r="D825" s="12"/>
      <c r="E825" s="12"/>
      <c r="F825" s="55"/>
      <c r="G825" s="55"/>
      <c r="H825" s="55"/>
      <c r="I825" s="55"/>
      <c r="J825" s="55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>
      <c r="A826" s="12"/>
      <c r="B826" s="12"/>
      <c r="C826" s="12"/>
      <c r="D826" s="12"/>
      <c r="E826" s="12"/>
      <c r="F826" s="55"/>
      <c r="G826" s="55"/>
      <c r="H826" s="55"/>
      <c r="I826" s="55"/>
      <c r="J826" s="55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>
      <c r="A827" s="12"/>
      <c r="B827" s="12"/>
      <c r="C827" s="12"/>
      <c r="D827" s="12"/>
      <c r="E827" s="12"/>
      <c r="F827" s="55"/>
      <c r="G827" s="55"/>
      <c r="H827" s="55"/>
      <c r="I827" s="55"/>
      <c r="J827" s="55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>
      <c r="A828" s="12"/>
      <c r="B828" s="12"/>
      <c r="C828" s="12"/>
      <c r="D828" s="12"/>
      <c r="E828" s="12"/>
      <c r="F828" s="55"/>
      <c r="G828" s="55"/>
      <c r="H828" s="55"/>
      <c r="I828" s="55"/>
      <c r="J828" s="55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>
      <c r="A829" s="12"/>
      <c r="B829" s="12"/>
      <c r="C829" s="12"/>
      <c r="D829" s="12"/>
      <c r="E829" s="12"/>
      <c r="F829" s="55"/>
      <c r="G829" s="55"/>
      <c r="H829" s="55"/>
      <c r="I829" s="55"/>
      <c r="J829" s="55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>
      <c r="A830" s="12"/>
      <c r="B830" s="12"/>
      <c r="C830" s="12"/>
      <c r="D830" s="12"/>
      <c r="E830" s="12"/>
      <c r="F830" s="55"/>
      <c r="G830" s="55"/>
      <c r="H830" s="55"/>
      <c r="I830" s="55"/>
      <c r="J830" s="55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>
      <c r="A831" s="12"/>
      <c r="B831" s="12"/>
      <c r="C831" s="12"/>
      <c r="D831" s="12"/>
      <c r="E831" s="12"/>
      <c r="F831" s="55"/>
      <c r="G831" s="55"/>
      <c r="H831" s="55"/>
      <c r="I831" s="55"/>
      <c r="J831" s="55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>
      <c r="A832" s="12"/>
      <c r="B832" s="12"/>
      <c r="C832" s="12"/>
      <c r="D832" s="12"/>
      <c r="E832" s="12"/>
      <c r="F832" s="55"/>
      <c r="G832" s="55"/>
      <c r="H832" s="55"/>
      <c r="I832" s="55"/>
      <c r="J832" s="55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>
      <c r="A833" s="12"/>
      <c r="B833" s="12"/>
      <c r="C833" s="12"/>
      <c r="D833" s="12"/>
      <c r="E833" s="12"/>
      <c r="F833" s="55"/>
      <c r="G833" s="55"/>
      <c r="H833" s="55"/>
      <c r="I833" s="55"/>
      <c r="J833" s="55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>
      <c r="A834" s="12"/>
      <c r="B834" s="12"/>
      <c r="C834" s="12"/>
      <c r="D834" s="12"/>
      <c r="E834" s="12"/>
      <c r="F834" s="55"/>
      <c r="G834" s="55"/>
      <c r="H834" s="55"/>
      <c r="I834" s="55"/>
      <c r="J834" s="55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>
      <c r="A835" s="12"/>
      <c r="B835" s="12"/>
      <c r="C835" s="12"/>
      <c r="D835" s="12"/>
      <c r="E835" s="12"/>
      <c r="F835" s="55"/>
      <c r="G835" s="55"/>
      <c r="H835" s="55"/>
      <c r="I835" s="55"/>
      <c r="J835" s="55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>
      <c r="A836" s="12"/>
      <c r="B836" s="12"/>
      <c r="C836" s="12"/>
      <c r="D836" s="12"/>
      <c r="E836" s="12"/>
      <c r="F836" s="55"/>
      <c r="G836" s="55"/>
      <c r="H836" s="55"/>
      <c r="I836" s="55"/>
      <c r="J836" s="55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>
      <c r="A837" s="12"/>
      <c r="B837" s="12"/>
      <c r="C837" s="12"/>
      <c r="D837" s="12"/>
      <c r="E837" s="12"/>
      <c r="F837" s="55"/>
      <c r="G837" s="55"/>
      <c r="H837" s="55"/>
      <c r="I837" s="55"/>
      <c r="J837" s="55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>
      <c r="A838" s="12"/>
      <c r="B838" s="12"/>
      <c r="C838" s="12"/>
      <c r="D838" s="12"/>
      <c r="E838" s="12"/>
      <c r="F838" s="55"/>
      <c r="G838" s="55"/>
      <c r="H838" s="55"/>
      <c r="I838" s="55"/>
      <c r="J838" s="55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>
      <c r="A839" s="12"/>
      <c r="B839" s="12"/>
      <c r="C839" s="12"/>
      <c r="D839" s="12"/>
      <c r="E839" s="12"/>
      <c r="F839" s="55"/>
      <c r="G839" s="55"/>
      <c r="H839" s="55"/>
      <c r="I839" s="55"/>
      <c r="J839" s="55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>
      <c r="A840" s="12"/>
      <c r="B840" s="12"/>
      <c r="C840" s="12"/>
      <c r="D840" s="12"/>
      <c r="E840" s="12"/>
      <c r="F840" s="55"/>
      <c r="G840" s="55"/>
      <c r="H840" s="55"/>
      <c r="I840" s="55"/>
      <c r="J840" s="55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>
      <c r="A841" s="12"/>
      <c r="B841" s="12"/>
      <c r="C841" s="12"/>
      <c r="D841" s="12"/>
      <c r="E841" s="12"/>
      <c r="F841" s="55"/>
      <c r="G841" s="55"/>
      <c r="H841" s="55"/>
      <c r="I841" s="55"/>
      <c r="J841" s="55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>
      <c r="A842" s="12"/>
      <c r="B842" s="12"/>
      <c r="C842" s="12"/>
      <c r="D842" s="12"/>
      <c r="E842" s="12"/>
      <c r="F842" s="55"/>
      <c r="G842" s="55"/>
      <c r="H842" s="55"/>
      <c r="I842" s="55"/>
      <c r="J842" s="55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>
      <c r="A843" s="12"/>
      <c r="B843" s="12"/>
      <c r="C843" s="12"/>
      <c r="D843" s="12"/>
      <c r="E843" s="12"/>
      <c r="F843" s="55"/>
      <c r="G843" s="55"/>
      <c r="H843" s="55"/>
      <c r="I843" s="55"/>
      <c r="J843" s="55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>
      <c r="A844" s="12"/>
      <c r="B844" s="12"/>
      <c r="C844" s="12"/>
      <c r="D844" s="12"/>
      <c r="E844" s="12"/>
      <c r="F844" s="55"/>
      <c r="G844" s="55"/>
      <c r="H844" s="55"/>
      <c r="I844" s="55"/>
      <c r="J844" s="55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>
      <c r="A845" s="12"/>
      <c r="B845" s="12"/>
      <c r="C845" s="12"/>
      <c r="D845" s="12"/>
      <c r="E845" s="12"/>
      <c r="F845" s="55"/>
      <c r="G845" s="55"/>
      <c r="H845" s="55"/>
      <c r="I845" s="55"/>
      <c r="J845" s="55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>
      <c r="A846" s="12"/>
      <c r="B846" s="12"/>
      <c r="C846" s="12"/>
      <c r="D846" s="12"/>
      <c r="E846" s="12"/>
      <c r="F846" s="55"/>
      <c r="G846" s="55"/>
      <c r="H846" s="55"/>
      <c r="I846" s="55"/>
      <c r="J846" s="55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>
      <c r="A847" s="12"/>
      <c r="B847" s="12"/>
      <c r="C847" s="12"/>
      <c r="D847" s="12"/>
      <c r="E847" s="12"/>
      <c r="F847" s="55"/>
      <c r="G847" s="55"/>
      <c r="H847" s="55"/>
      <c r="I847" s="55"/>
      <c r="J847" s="55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>
      <c r="A848" s="12"/>
      <c r="B848" s="12"/>
      <c r="C848" s="12"/>
      <c r="D848" s="12"/>
      <c r="E848" s="12"/>
      <c r="F848" s="55"/>
      <c r="G848" s="55"/>
      <c r="H848" s="55"/>
      <c r="I848" s="55"/>
      <c r="J848" s="55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>
      <c r="A849" s="12"/>
      <c r="B849" s="12"/>
      <c r="C849" s="12"/>
      <c r="D849" s="12"/>
      <c r="E849" s="12"/>
      <c r="F849" s="55"/>
      <c r="G849" s="55"/>
      <c r="H849" s="55"/>
      <c r="I849" s="55"/>
      <c r="J849" s="55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>
      <c r="A850" s="12"/>
      <c r="B850" s="12"/>
      <c r="C850" s="12"/>
      <c r="D850" s="12"/>
      <c r="E850" s="12"/>
      <c r="F850" s="55"/>
      <c r="G850" s="55"/>
      <c r="H850" s="55"/>
      <c r="I850" s="55"/>
      <c r="J850" s="55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>
      <c r="A851" s="12"/>
      <c r="B851" s="12"/>
      <c r="C851" s="12"/>
      <c r="D851" s="12"/>
      <c r="E851" s="12"/>
      <c r="F851" s="55"/>
      <c r="G851" s="55"/>
      <c r="H851" s="55"/>
      <c r="I851" s="55"/>
      <c r="J851" s="55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>
      <c r="A852" s="12"/>
      <c r="B852" s="12"/>
      <c r="C852" s="12"/>
      <c r="D852" s="12"/>
      <c r="E852" s="12"/>
      <c r="F852" s="55"/>
      <c r="G852" s="55"/>
      <c r="H852" s="55"/>
      <c r="I852" s="55"/>
      <c r="J852" s="55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>
      <c r="A853" s="12"/>
      <c r="B853" s="12"/>
      <c r="C853" s="12"/>
      <c r="D853" s="12"/>
      <c r="E853" s="12"/>
      <c r="F853" s="55"/>
      <c r="G853" s="55"/>
      <c r="H853" s="55"/>
      <c r="I853" s="55"/>
      <c r="J853" s="55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>
      <c r="A854" s="12"/>
      <c r="B854" s="12"/>
      <c r="C854" s="12"/>
      <c r="D854" s="12"/>
      <c r="E854" s="12"/>
      <c r="F854" s="55"/>
      <c r="G854" s="55"/>
      <c r="H854" s="55"/>
      <c r="I854" s="55"/>
      <c r="J854" s="55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>
      <c r="A855" s="12"/>
      <c r="B855" s="12"/>
      <c r="C855" s="12"/>
      <c r="D855" s="12"/>
      <c r="E855" s="12"/>
      <c r="F855" s="55"/>
      <c r="G855" s="55"/>
      <c r="H855" s="55"/>
      <c r="I855" s="55"/>
      <c r="J855" s="55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>
      <c r="A856" s="12"/>
      <c r="B856" s="12"/>
      <c r="C856" s="12"/>
      <c r="D856" s="12"/>
      <c r="E856" s="12"/>
      <c r="F856" s="55"/>
      <c r="G856" s="55"/>
      <c r="H856" s="55"/>
      <c r="I856" s="55"/>
      <c r="J856" s="55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>
      <c r="A857" s="12"/>
      <c r="B857" s="12"/>
      <c r="C857" s="12"/>
      <c r="D857" s="12"/>
      <c r="E857" s="12"/>
      <c r="F857" s="55"/>
      <c r="G857" s="55"/>
      <c r="H857" s="55"/>
      <c r="I857" s="55"/>
      <c r="J857" s="55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>
      <c r="A858" s="12"/>
      <c r="B858" s="12"/>
      <c r="C858" s="12"/>
      <c r="D858" s="12"/>
      <c r="E858" s="12"/>
      <c r="F858" s="55"/>
      <c r="G858" s="55"/>
      <c r="H858" s="55"/>
      <c r="I858" s="55"/>
      <c r="J858" s="55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>
      <c r="A859" s="12"/>
      <c r="B859" s="12"/>
      <c r="C859" s="12"/>
      <c r="D859" s="12"/>
      <c r="E859" s="12"/>
      <c r="F859" s="55"/>
      <c r="G859" s="55"/>
      <c r="H859" s="55"/>
      <c r="I859" s="55"/>
      <c r="J859" s="55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>
      <c r="A860" s="12"/>
      <c r="B860" s="12"/>
      <c r="C860" s="12"/>
      <c r="D860" s="12"/>
      <c r="E860" s="12"/>
      <c r="F860" s="55"/>
      <c r="G860" s="55"/>
      <c r="H860" s="55"/>
      <c r="I860" s="55"/>
      <c r="J860" s="55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>
      <c r="A861" s="12"/>
      <c r="B861" s="12"/>
      <c r="C861" s="12"/>
      <c r="D861" s="12"/>
      <c r="E861" s="12"/>
      <c r="F861" s="55"/>
      <c r="G861" s="55"/>
      <c r="H861" s="55"/>
      <c r="I861" s="55"/>
      <c r="J861" s="55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>
      <c r="A862" s="12"/>
      <c r="B862" s="12"/>
      <c r="C862" s="12"/>
      <c r="D862" s="12"/>
      <c r="E862" s="12"/>
      <c r="F862" s="55"/>
      <c r="G862" s="55"/>
      <c r="H862" s="55"/>
      <c r="I862" s="55"/>
      <c r="J862" s="55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>
      <c r="A863" s="12"/>
      <c r="B863" s="12"/>
      <c r="C863" s="12"/>
      <c r="D863" s="12"/>
      <c r="E863" s="12"/>
      <c r="F863" s="55"/>
      <c r="G863" s="55"/>
      <c r="H863" s="55"/>
      <c r="I863" s="55"/>
      <c r="J863" s="55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>
      <c r="A864" s="12"/>
      <c r="B864" s="12"/>
      <c r="C864" s="12"/>
      <c r="D864" s="12"/>
      <c r="E864" s="12"/>
      <c r="F864" s="55"/>
      <c r="G864" s="55"/>
      <c r="H864" s="55"/>
      <c r="I864" s="55"/>
      <c r="J864" s="55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>
      <c r="A865" s="12"/>
      <c r="B865" s="12"/>
      <c r="C865" s="12"/>
      <c r="D865" s="12"/>
      <c r="E865" s="12"/>
      <c r="F865" s="55"/>
      <c r="G865" s="55"/>
      <c r="H865" s="55"/>
      <c r="I865" s="55"/>
      <c r="J865" s="55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>
      <c r="A866" s="12"/>
      <c r="B866" s="12"/>
      <c r="C866" s="12"/>
      <c r="D866" s="12"/>
      <c r="E866" s="12"/>
      <c r="F866" s="55"/>
      <c r="G866" s="55"/>
      <c r="H866" s="55"/>
      <c r="I866" s="55"/>
      <c r="J866" s="55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>
      <c r="A867" s="12"/>
      <c r="B867" s="12"/>
      <c r="C867" s="12"/>
      <c r="D867" s="12"/>
      <c r="E867" s="12"/>
      <c r="F867" s="55"/>
      <c r="G867" s="55"/>
      <c r="H867" s="55"/>
      <c r="I867" s="55"/>
      <c r="J867" s="55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>
      <c r="A868" s="12"/>
      <c r="B868" s="12"/>
      <c r="C868" s="12"/>
      <c r="D868" s="12"/>
      <c r="E868" s="12"/>
      <c r="F868" s="55"/>
      <c r="G868" s="55"/>
      <c r="H868" s="55"/>
      <c r="I868" s="55"/>
      <c r="J868" s="55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>
      <c r="A869" s="12"/>
      <c r="B869" s="12"/>
      <c r="C869" s="12"/>
      <c r="D869" s="12"/>
      <c r="E869" s="12"/>
      <c r="F869" s="55"/>
      <c r="G869" s="55"/>
      <c r="H869" s="55"/>
      <c r="I869" s="55"/>
      <c r="J869" s="55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>
      <c r="A870" s="12"/>
      <c r="B870" s="12"/>
      <c r="C870" s="12"/>
      <c r="D870" s="12"/>
      <c r="E870" s="12"/>
      <c r="F870" s="55"/>
      <c r="G870" s="55"/>
      <c r="H870" s="55"/>
      <c r="I870" s="55"/>
      <c r="J870" s="55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>
      <c r="A871" s="12"/>
      <c r="B871" s="12"/>
      <c r="C871" s="12"/>
      <c r="D871" s="12"/>
      <c r="E871" s="12"/>
      <c r="F871" s="55"/>
      <c r="G871" s="55"/>
      <c r="H871" s="55"/>
      <c r="I871" s="55"/>
      <c r="J871" s="55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>
      <c r="A872" s="12"/>
      <c r="B872" s="12"/>
      <c r="C872" s="12"/>
      <c r="D872" s="12"/>
      <c r="E872" s="12"/>
      <c r="F872" s="55"/>
      <c r="G872" s="55"/>
      <c r="H872" s="55"/>
      <c r="I872" s="55"/>
      <c r="J872" s="55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>
      <c r="A873" s="12"/>
      <c r="B873" s="12"/>
      <c r="C873" s="12"/>
      <c r="D873" s="12"/>
      <c r="E873" s="12"/>
      <c r="F873" s="55"/>
      <c r="G873" s="55"/>
      <c r="H873" s="55"/>
      <c r="I873" s="55"/>
      <c r="J873" s="55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>
      <c r="A874" s="12"/>
      <c r="B874" s="12"/>
      <c r="C874" s="12"/>
      <c r="D874" s="12"/>
      <c r="E874" s="12"/>
      <c r="F874" s="55"/>
      <c r="G874" s="55"/>
      <c r="H874" s="55"/>
      <c r="I874" s="55"/>
      <c r="J874" s="55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>
      <c r="A875" s="12"/>
      <c r="B875" s="12"/>
      <c r="C875" s="12"/>
      <c r="D875" s="12"/>
      <c r="E875" s="12"/>
      <c r="F875" s="55"/>
      <c r="G875" s="55"/>
      <c r="H875" s="55"/>
      <c r="I875" s="55"/>
      <c r="J875" s="55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>
      <c r="A876" s="12"/>
      <c r="B876" s="12"/>
      <c r="C876" s="12"/>
      <c r="D876" s="12"/>
      <c r="E876" s="12"/>
      <c r="F876" s="55"/>
      <c r="G876" s="55"/>
      <c r="H876" s="55"/>
      <c r="I876" s="55"/>
      <c r="J876" s="55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>
      <c r="A877" s="12"/>
      <c r="B877" s="12"/>
      <c r="C877" s="12"/>
      <c r="D877" s="12"/>
      <c r="E877" s="12"/>
      <c r="F877" s="55"/>
      <c r="G877" s="55"/>
      <c r="H877" s="55"/>
      <c r="I877" s="55"/>
      <c r="J877" s="55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>
      <c r="A878" s="12"/>
      <c r="B878" s="12"/>
      <c r="C878" s="12"/>
      <c r="D878" s="12"/>
      <c r="E878" s="12"/>
      <c r="F878" s="55"/>
      <c r="G878" s="55"/>
      <c r="H878" s="55"/>
      <c r="I878" s="55"/>
      <c r="J878" s="55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>
      <c r="A879" s="12"/>
      <c r="B879" s="12"/>
      <c r="C879" s="12"/>
      <c r="D879" s="12"/>
      <c r="E879" s="12"/>
      <c r="F879" s="55"/>
      <c r="G879" s="55"/>
      <c r="H879" s="55"/>
      <c r="I879" s="55"/>
      <c r="J879" s="55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>
      <c r="A880" s="12"/>
      <c r="B880" s="12"/>
      <c r="C880" s="12"/>
      <c r="D880" s="12"/>
      <c r="E880" s="12"/>
      <c r="F880" s="55"/>
      <c r="G880" s="55"/>
      <c r="H880" s="55"/>
      <c r="I880" s="55"/>
      <c r="J880" s="55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>
      <c r="A881" s="12"/>
      <c r="B881" s="12"/>
      <c r="C881" s="12"/>
      <c r="D881" s="12"/>
      <c r="E881" s="12"/>
      <c r="F881" s="55"/>
      <c r="G881" s="55"/>
      <c r="H881" s="55"/>
      <c r="I881" s="55"/>
      <c r="J881" s="55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>
      <c r="A882" s="12"/>
      <c r="B882" s="12"/>
      <c r="C882" s="12"/>
      <c r="D882" s="12"/>
      <c r="E882" s="12"/>
      <c r="F882" s="55"/>
      <c r="G882" s="55"/>
      <c r="H882" s="55"/>
      <c r="I882" s="55"/>
      <c r="J882" s="55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>
      <c r="A883" s="12"/>
      <c r="B883" s="12"/>
      <c r="C883" s="12"/>
      <c r="D883" s="12"/>
      <c r="E883" s="12"/>
      <c r="F883" s="55"/>
      <c r="G883" s="55"/>
      <c r="H883" s="55"/>
      <c r="I883" s="55"/>
      <c r="J883" s="55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>
      <c r="A884" s="12"/>
      <c r="B884" s="12"/>
      <c r="C884" s="12"/>
      <c r="D884" s="12"/>
      <c r="E884" s="12"/>
      <c r="F884" s="55"/>
      <c r="G884" s="55"/>
      <c r="H884" s="55"/>
      <c r="I884" s="55"/>
      <c r="J884" s="55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>
      <c r="A885" s="12"/>
      <c r="B885" s="12"/>
      <c r="C885" s="12"/>
      <c r="D885" s="12"/>
      <c r="E885" s="12"/>
      <c r="F885" s="55"/>
      <c r="G885" s="55"/>
      <c r="H885" s="55"/>
      <c r="I885" s="55"/>
      <c r="J885" s="55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>
      <c r="A886" s="12"/>
      <c r="B886" s="12"/>
      <c r="C886" s="12"/>
      <c r="D886" s="12"/>
      <c r="E886" s="12"/>
      <c r="F886" s="55"/>
      <c r="G886" s="55"/>
      <c r="H886" s="55"/>
      <c r="I886" s="55"/>
      <c r="J886" s="55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>
      <c r="A887" s="12"/>
      <c r="B887" s="12"/>
      <c r="C887" s="12"/>
      <c r="D887" s="12"/>
      <c r="E887" s="12"/>
      <c r="F887" s="55"/>
      <c r="G887" s="55"/>
      <c r="H887" s="55"/>
      <c r="I887" s="55"/>
      <c r="J887" s="55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>
      <c r="A888" s="12"/>
      <c r="B888" s="12"/>
      <c r="C888" s="12"/>
      <c r="D888" s="12"/>
      <c r="E888" s="12"/>
      <c r="F888" s="55"/>
      <c r="G888" s="55"/>
      <c r="H888" s="55"/>
      <c r="I888" s="55"/>
      <c r="J888" s="55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>
      <c r="A889" s="12"/>
      <c r="B889" s="12"/>
      <c r="C889" s="12"/>
      <c r="D889" s="12"/>
      <c r="E889" s="12"/>
      <c r="F889" s="55"/>
      <c r="G889" s="55"/>
      <c r="H889" s="55"/>
      <c r="I889" s="55"/>
      <c r="J889" s="55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>
      <c r="A890" s="12"/>
      <c r="B890" s="12"/>
      <c r="C890" s="12"/>
      <c r="D890" s="12"/>
      <c r="E890" s="12"/>
      <c r="F890" s="55"/>
      <c r="G890" s="55"/>
      <c r="H890" s="55"/>
      <c r="I890" s="55"/>
      <c r="J890" s="55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>
      <c r="A891" s="12"/>
      <c r="B891" s="12"/>
      <c r="C891" s="12"/>
      <c r="D891" s="12"/>
      <c r="E891" s="12"/>
      <c r="F891" s="55"/>
      <c r="G891" s="55"/>
      <c r="H891" s="55"/>
      <c r="I891" s="55"/>
      <c r="J891" s="55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>
      <c r="A892" s="12"/>
      <c r="B892" s="12"/>
      <c r="C892" s="12"/>
      <c r="D892" s="12"/>
      <c r="E892" s="12"/>
      <c r="F892" s="55"/>
      <c r="G892" s="55"/>
      <c r="H892" s="55"/>
      <c r="I892" s="55"/>
      <c r="J892" s="55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>
      <c r="A893" s="12"/>
      <c r="B893" s="12"/>
      <c r="C893" s="12"/>
      <c r="D893" s="12"/>
      <c r="E893" s="12"/>
      <c r="F893" s="55"/>
      <c r="G893" s="55"/>
      <c r="H893" s="55"/>
      <c r="I893" s="55"/>
      <c r="J893" s="55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>
      <c r="A894" s="12"/>
      <c r="B894" s="12"/>
      <c r="C894" s="12"/>
      <c r="D894" s="12"/>
      <c r="E894" s="12"/>
      <c r="F894" s="55"/>
      <c r="G894" s="55"/>
      <c r="H894" s="55"/>
      <c r="I894" s="55"/>
      <c r="J894" s="55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>
      <c r="A895" s="12"/>
      <c r="B895" s="12"/>
      <c r="C895" s="12"/>
      <c r="D895" s="12"/>
      <c r="E895" s="12"/>
      <c r="F895" s="55"/>
      <c r="G895" s="55"/>
      <c r="H895" s="55"/>
      <c r="I895" s="55"/>
      <c r="J895" s="55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>
      <c r="A896" s="12"/>
      <c r="B896" s="12"/>
      <c r="C896" s="12"/>
      <c r="D896" s="12"/>
      <c r="E896" s="12"/>
      <c r="F896" s="55"/>
      <c r="G896" s="55"/>
      <c r="H896" s="55"/>
      <c r="I896" s="55"/>
      <c r="J896" s="55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>
      <c r="A897" s="12"/>
      <c r="B897" s="12"/>
      <c r="C897" s="12"/>
      <c r="D897" s="12"/>
      <c r="E897" s="12"/>
      <c r="F897" s="55"/>
      <c r="G897" s="55"/>
      <c r="H897" s="55"/>
      <c r="I897" s="55"/>
      <c r="J897" s="55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>
      <c r="A898" s="12"/>
      <c r="B898" s="12"/>
      <c r="C898" s="12"/>
      <c r="D898" s="12"/>
      <c r="E898" s="12"/>
      <c r="F898" s="55"/>
      <c r="G898" s="55"/>
      <c r="H898" s="55"/>
      <c r="I898" s="55"/>
      <c r="J898" s="55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>
      <c r="A899" s="12"/>
      <c r="B899" s="12"/>
      <c r="C899" s="12"/>
      <c r="D899" s="12"/>
      <c r="E899" s="12"/>
      <c r="F899" s="55"/>
      <c r="G899" s="55"/>
      <c r="H899" s="55"/>
      <c r="I899" s="55"/>
      <c r="J899" s="55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>
      <c r="A900" s="12"/>
      <c r="B900" s="12"/>
      <c r="C900" s="12"/>
      <c r="D900" s="12"/>
      <c r="E900" s="12"/>
      <c r="F900" s="55"/>
      <c r="G900" s="55"/>
      <c r="H900" s="55"/>
      <c r="I900" s="55"/>
      <c r="J900" s="55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>
      <c r="A901" s="12"/>
      <c r="B901" s="12"/>
      <c r="C901" s="12"/>
      <c r="D901" s="12"/>
      <c r="E901" s="12"/>
      <c r="F901" s="55"/>
      <c r="G901" s="55"/>
      <c r="H901" s="55"/>
      <c r="I901" s="55"/>
      <c r="J901" s="55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>
      <c r="A902" s="12"/>
      <c r="B902" s="12"/>
      <c r="C902" s="12"/>
      <c r="D902" s="12"/>
      <c r="E902" s="12"/>
      <c r="F902" s="55"/>
      <c r="G902" s="55"/>
      <c r="H902" s="55"/>
      <c r="I902" s="55"/>
      <c r="J902" s="55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>
      <c r="A903" s="12"/>
      <c r="B903" s="12"/>
      <c r="C903" s="12"/>
      <c r="D903" s="12"/>
      <c r="E903" s="12"/>
      <c r="F903" s="55"/>
      <c r="G903" s="55"/>
      <c r="H903" s="55"/>
      <c r="I903" s="55"/>
      <c r="J903" s="55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>
      <c r="A904" s="12"/>
      <c r="B904" s="12"/>
      <c r="C904" s="12"/>
      <c r="D904" s="12"/>
      <c r="E904" s="12"/>
      <c r="F904" s="55"/>
      <c r="G904" s="55"/>
      <c r="H904" s="55"/>
      <c r="I904" s="55"/>
      <c r="J904" s="55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>
      <c r="A905" s="12"/>
      <c r="B905" s="12"/>
      <c r="C905" s="12"/>
      <c r="D905" s="12"/>
      <c r="E905" s="12"/>
      <c r="F905" s="55"/>
      <c r="G905" s="55"/>
      <c r="H905" s="55"/>
      <c r="I905" s="55"/>
      <c r="J905" s="55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>
      <c r="A906" s="12"/>
      <c r="B906" s="12"/>
      <c r="C906" s="12"/>
      <c r="D906" s="12"/>
      <c r="E906" s="12"/>
      <c r="F906" s="55"/>
      <c r="G906" s="55"/>
      <c r="H906" s="55"/>
      <c r="I906" s="55"/>
      <c r="J906" s="55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>
      <c r="A907" s="12"/>
      <c r="B907" s="12"/>
      <c r="C907" s="12"/>
      <c r="D907" s="12"/>
      <c r="E907" s="12"/>
      <c r="F907" s="55"/>
      <c r="G907" s="55"/>
      <c r="H907" s="55"/>
      <c r="I907" s="55"/>
      <c r="J907" s="55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>
      <c r="A908" s="12"/>
      <c r="B908" s="12"/>
      <c r="C908" s="12"/>
      <c r="D908" s="12"/>
      <c r="E908" s="12"/>
      <c r="F908" s="55"/>
      <c r="G908" s="55"/>
      <c r="H908" s="55"/>
      <c r="I908" s="55"/>
      <c r="J908" s="55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>
      <c r="A909" s="12"/>
      <c r="B909" s="12"/>
      <c r="C909" s="12"/>
      <c r="D909" s="12"/>
      <c r="E909" s="12"/>
      <c r="F909" s="55"/>
      <c r="G909" s="55"/>
      <c r="H909" s="55"/>
      <c r="I909" s="55"/>
      <c r="J909" s="55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>
      <c r="A910" s="12"/>
      <c r="B910" s="12"/>
      <c r="C910" s="12"/>
      <c r="D910" s="12"/>
      <c r="E910" s="12"/>
      <c r="F910" s="55"/>
      <c r="G910" s="55"/>
      <c r="H910" s="55"/>
      <c r="I910" s="55"/>
      <c r="J910" s="55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>
      <c r="A911" s="12"/>
      <c r="B911" s="12"/>
      <c r="C911" s="12"/>
      <c r="D911" s="12"/>
      <c r="E911" s="12"/>
      <c r="F911" s="55"/>
      <c r="G911" s="55"/>
      <c r="H911" s="55"/>
      <c r="I911" s="55"/>
      <c r="J911" s="55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>
      <c r="A912" s="12"/>
      <c r="B912" s="12"/>
      <c r="C912" s="12"/>
      <c r="D912" s="12"/>
      <c r="E912" s="12"/>
      <c r="F912" s="55"/>
      <c r="G912" s="55"/>
      <c r="H912" s="55"/>
      <c r="I912" s="55"/>
      <c r="J912" s="55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>
      <c r="A913" s="12"/>
      <c r="B913" s="12"/>
      <c r="C913" s="12"/>
      <c r="D913" s="12"/>
      <c r="E913" s="12"/>
      <c r="F913" s="55"/>
      <c r="G913" s="55"/>
      <c r="H913" s="55"/>
      <c r="I913" s="55"/>
      <c r="J913" s="55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>
      <c r="A914" s="12"/>
      <c r="B914" s="12"/>
      <c r="C914" s="12"/>
      <c r="D914" s="12"/>
      <c r="E914" s="12"/>
      <c r="F914" s="55"/>
      <c r="G914" s="55"/>
      <c r="H914" s="55"/>
      <c r="I914" s="55"/>
      <c r="J914" s="55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>
      <c r="A915" s="12"/>
      <c r="B915" s="12"/>
      <c r="C915" s="12"/>
      <c r="D915" s="12"/>
      <c r="E915" s="12"/>
      <c r="F915" s="55"/>
      <c r="G915" s="55"/>
      <c r="H915" s="55"/>
      <c r="I915" s="55"/>
      <c r="J915" s="55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>
      <c r="A916" s="12"/>
      <c r="B916" s="12"/>
      <c r="C916" s="12"/>
      <c r="D916" s="12"/>
      <c r="E916" s="12"/>
      <c r="F916" s="55"/>
      <c r="G916" s="55"/>
      <c r="H916" s="55"/>
      <c r="I916" s="55"/>
      <c r="J916" s="55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>
      <c r="A917" s="12"/>
      <c r="B917" s="12"/>
      <c r="C917" s="12"/>
      <c r="D917" s="12"/>
      <c r="E917" s="12"/>
      <c r="F917" s="55"/>
      <c r="G917" s="55"/>
      <c r="H917" s="55"/>
      <c r="I917" s="55"/>
      <c r="J917" s="55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>
      <c r="A918" s="12"/>
      <c r="B918" s="12"/>
      <c r="C918" s="12"/>
      <c r="D918" s="12"/>
      <c r="E918" s="12"/>
      <c r="F918" s="55"/>
      <c r="G918" s="55"/>
      <c r="H918" s="55"/>
      <c r="I918" s="55"/>
      <c r="J918" s="55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>
      <c r="A919" s="12"/>
      <c r="B919" s="12"/>
      <c r="C919" s="12"/>
      <c r="D919" s="12"/>
      <c r="E919" s="12"/>
      <c r="F919" s="55"/>
      <c r="G919" s="55"/>
      <c r="H919" s="55"/>
      <c r="I919" s="55"/>
      <c r="J919" s="55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>
      <c r="A920" s="12"/>
      <c r="B920" s="12"/>
      <c r="C920" s="12"/>
      <c r="D920" s="12"/>
      <c r="E920" s="12"/>
      <c r="F920" s="55"/>
      <c r="G920" s="55"/>
      <c r="H920" s="55"/>
      <c r="I920" s="55"/>
      <c r="J920" s="55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>
      <c r="A921" s="12"/>
      <c r="B921" s="12"/>
      <c r="C921" s="12"/>
      <c r="D921" s="12"/>
      <c r="E921" s="12"/>
      <c r="F921" s="55"/>
      <c r="G921" s="55"/>
      <c r="H921" s="55"/>
      <c r="I921" s="55"/>
      <c r="J921" s="55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>
      <c r="A922" s="12"/>
      <c r="B922" s="12"/>
      <c r="C922" s="12"/>
      <c r="D922" s="12"/>
      <c r="E922" s="12"/>
      <c r="F922" s="55"/>
      <c r="G922" s="55"/>
      <c r="H922" s="55"/>
      <c r="I922" s="55"/>
      <c r="J922" s="55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>
      <c r="A923" s="12"/>
      <c r="B923" s="12"/>
      <c r="C923" s="12"/>
      <c r="D923" s="12"/>
      <c r="E923" s="12"/>
      <c r="F923" s="55"/>
      <c r="G923" s="55"/>
      <c r="H923" s="55"/>
      <c r="I923" s="55"/>
      <c r="J923" s="55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>
      <c r="A924" s="12"/>
      <c r="B924" s="12"/>
      <c r="C924" s="12"/>
      <c r="D924" s="12"/>
      <c r="E924" s="12"/>
      <c r="F924" s="55"/>
      <c r="G924" s="55"/>
      <c r="H924" s="55"/>
      <c r="I924" s="55"/>
      <c r="J924" s="55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>
      <c r="A925" s="12"/>
      <c r="B925" s="12"/>
      <c r="C925" s="12"/>
      <c r="D925" s="12"/>
      <c r="E925" s="12"/>
      <c r="F925" s="55"/>
      <c r="G925" s="55"/>
      <c r="H925" s="55"/>
      <c r="I925" s="55"/>
      <c r="J925" s="55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>
      <c r="A926" s="12"/>
      <c r="B926" s="12"/>
      <c r="C926" s="12"/>
      <c r="D926" s="12"/>
      <c r="E926" s="12"/>
      <c r="F926" s="55"/>
      <c r="G926" s="55"/>
      <c r="H926" s="55"/>
      <c r="I926" s="55"/>
      <c r="J926" s="55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>
      <c r="A927" s="12"/>
      <c r="B927" s="12"/>
      <c r="C927" s="12"/>
      <c r="D927" s="12"/>
      <c r="E927" s="12"/>
      <c r="F927" s="55"/>
      <c r="G927" s="55"/>
      <c r="H927" s="55"/>
      <c r="I927" s="55"/>
      <c r="J927" s="55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>
      <c r="A928" s="12"/>
      <c r="B928" s="12"/>
      <c r="C928" s="12"/>
      <c r="D928" s="12"/>
      <c r="E928" s="12"/>
      <c r="F928" s="55"/>
      <c r="G928" s="55"/>
      <c r="H928" s="55"/>
      <c r="I928" s="55"/>
      <c r="J928" s="55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>
      <c r="A929" s="12"/>
      <c r="B929" s="12"/>
      <c r="C929" s="12"/>
      <c r="D929" s="12"/>
      <c r="E929" s="12"/>
      <c r="F929" s="55"/>
      <c r="G929" s="55"/>
      <c r="H929" s="55"/>
      <c r="I929" s="55"/>
      <c r="J929" s="55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>
      <c r="A930" s="12"/>
      <c r="B930" s="12"/>
      <c r="C930" s="12"/>
      <c r="D930" s="12"/>
      <c r="E930" s="12"/>
      <c r="F930" s="55"/>
      <c r="G930" s="55"/>
      <c r="H930" s="55"/>
      <c r="I930" s="55"/>
      <c r="J930" s="55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>
      <c r="A931" s="12"/>
      <c r="B931" s="12"/>
      <c r="C931" s="12"/>
      <c r="D931" s="12"/>
      <c r="E931" s="12"/>
      <c r="F931" s="55"/>
      <c r="G931" s="55"/>
      <c r="H931" s="55"/>
      <c r="I931" s="55"/>
      <c r="J931" s="55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>
      <c r="A932" s="12"/>
      <c r="B932" s="12"/>
      <c r="C932" s="12"/>
      <c r="D932" s="12"/>
      <c r="E932" s="12"/>
      <c r="F932" s="55"/>
      <c r="G932" s="55"/>
      <c r="H932" s="55"/>
      <c r="I932" s="55"/>
      <c r="J932" s="55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>
      <c r="A933" s="12"/>
      <c r="B933" s="12"/>
      <c r="C933" s="12"/>
      <c r="D933" s="12"/>
      <c r="E933" s="12"/>
      <c r="F933" s="55"/>
      <c r="G933" s="55"/>
      <c r="H933" s="55"/>
      <c r="I933" s="55"/>
      <c r="J933" s="55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>
      <c r="A934" s="12"/>
      <c r="B934" s="12"/>
      <c r="C934" s="12"/>
      <c r="D934" s="12"/>
      <c r="E934" s="12"/>
      <c r="F934" s="55"/>
      <c r="G934" s="55"/>
      <c r="H934" s="55"/>
      <c r="I934" s="55"/>
      <c r="J934" s="55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>
      <c r="A935" s="12"/>
      <c r="B935" s="12"/>
      <c r="C935" s="12"/>
      <c r="D935" s="12"/>
      <c r="E935" s="12"/>
      <c r="F935" s="55"/>
      <c r="G935" s="55"/>
      <c r="H935" s="55"/>
      <c r="I935" s="55"/>
      <c r="J935" s="55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>
      <c r="A936" s="12"/>
      <c r="B936" s="12"/>
      <c r="C936" s="12"/>
      <c r="D936" s="12"/>
      <c r="E936" s="12"/>
      <c r="F936" s="55"/>
      <c r="G936" s="55"/>
      <c r="H936" s="55"/>
      <c r="I936" s="55"/>
      <c r="J936" s="55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>
      <c r="A937" s="12"/>
      <c r="B937" s="12"/>
      <c r="C937" s="12"/>
      <c r="D937" s="12"/>
      <c r="E937" s="12"/>
      <c r="F937" s="55"/>
      <c r="G937" s="55"/>
      <c r="H937" s="55"/>
      <c r="I937" s="55"/>
      <c r="J937" s="55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>
      <c r="A938" s="12"/>
      <c r="B938" s="12"/>
      <c r="C938" s="12"/>
      <c r="D938" s="12"/>
      <c r="E938" s="12"/>
      <c r="F938" s="55"/>
      <c r="G938" s="55"/>
      <c r="H938" s="55"/>
      <c r="I938" s="55"/>
      <c r="J938" s="55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>
      <c r="A939" s="12"/>
      <c r="B939" s="12"/>
      <c r="C939" s="12"/>
      <c r="D939" s="12"/>
      <c r="E939" s="12"/>
      <c r="F939" s="55"/>
      <c r="G939" s="55"/>
      <c r="H939" s="55"/>
      <c r="I939" s="55"/>
      <c r="J939" s="55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>
      <c r="A940" s="12"/>
      <c r="B940" s="12"/>
      <c r="C940" s="12"/>
      <c r="D940" s="12"/>
      <c r="E940" s="12"/>
      <c r="F940" s="55"/>
      <c r="G940" s="55"/>
      <c r="H940" s="55"/>
      <c r="I940" s="55"/>
      <c r="J940" s="55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>
      <c r="A941" s="12"/>
      <c r="B941" s="12"/>
      <c r="C941" s="12"/>
      <c r="D941" s="12"/>
      <c r="E941" s="12"/>
      <c r="F941" s="55"/>
      <c r="G941" s="55"/>
      <c r="H941" s="55"/>
      <c r="I941" s="55"/>
      <c r="J941" s="55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>
      <c r="A942" s="12"/>
      <c r="B942" s="12"/>
      <c r="C942" s="12"/>
      <c r="D942" s="12"/>
      <c r="E942" s="12"/>
      <c r="F942" s="55"/>
      <c r="G942" s="55"/>
      <c r="H942" s="55"/>
      <c r="I942" s="55"/>
      <c r="J942" s="55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>
      <c r="A943" s="12"/>
      <c r="B943" s="12"/>
      <c r="C943" s="12"/>
      <c r="D943" s="12"/>
      <c r="E943" s="12"/>
      <c r="F943" s="55"/>
      <c r="G943" s="55"/>
      <c r="H943" s="55"/>
      <c r="I943" s="55"/>
      <c r="J943" s="55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>
      <c r="A944" s="12"/>
      <c r="B944" s="12"/>
      <c r="C944" s="12"/>
      <c r="D944" s="12"/>
      <c r="E944" s="12"/>
      <c r="F944" s="55"/>
      <c r="G944" s="55"/>
      <c r="H944" s="55"/>
      <c r="I944" s="55"/>
      <c r="J944" s="55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>
      <c r="A945" s="12"/>
      <c r="B945" s="12"/>
      <c r="C945" s="12"/>
      <c r="D945" s="12"/>
      <c r="E945" s="12"/>
      <c r="F945" s="55"/>
      <c r="G945" s="55"/>
      <c r="H945" s="55"/>
      <c r="I945" s="55"/>
      <c r="J945" s="55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>
      <c r="A946" s="12"/>
      <c r="B946" s="12"/>
      <c r="C946" s="12"/>
      <c r="D946" s="12"/>
      <c r="E946" s="12"/>
      <c r="F946" s="55"/>
      <c r="G946" s="55"/>
      <c r="H946" s="55"/>
      <c r="I946" s="55"/>
      <c r="J946" s="55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>
      <c r="A947" s="12"/>
      <c r="B947" s="12"/>
      <c r="C947" s="12"/>
      <c r="D947" s="12"/>
      <c r="E947" s="12"/>
      <c r="F947" s="55"/>
      <c r="G947" s="55"/>
      <c r="H947" s="55"/>
      <c r="I947" s="55"/>
      <c r="J947" s="55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>
      <c r="A948" s="12"/>
      <c r="B948" s="12"/>
      <c r="C948" s="12"/>
      <c r="D948" s="12"/>
      <c r="E948" s="12"/>
      <c r="F948" s="55"/>
      <c r="G948" s="55"/>
      <c r="H948" s="55"/>
      <c r="I948" s="55"/>
      <c r="J948" s="55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>
      <c r="A949" s="12"/>
      <c r="B949" s="12"/>
      <c r="C949" s="12"/>
      <c r="D949" s="12"/>
      <c r="E949" s="12"/>
      <c r="F949" s="55"/>
      <c r="G949" s="55"/>
      <c r="H949" s="55"/>
      <c r="I949" s="55"/>
      <c r="J949" s="55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>
      <c r="A950" s="12"/>
      <c r="B950" s="12"/>
      <c r="C950" s="12"/>
      <c r="D950" s="12"/>
      <c r="E950" s="12"/>
      <c r="F950" s="55"/>
      <c r="G950" s="55"/>
      <c r="H950" s="55"/>
      <c r="I950" s="55"/>
      <c r="J950" s="55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>
      <c r="A951" s="12"/>
      <c r="B951" s="12"/>
      <c r="C951" s="12"/>
      <c r="D951" s="12"/>
      <c r="E951" s="12"/>
      <c r="F951" s="55"/>
      <c r="G951" s="55"/>
      <c r="H951" s="55"/>
      <c r="I951" s="55"/>
      <c r="J951" s="55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>
      <c r="A952" s="12"/>
      <c r="B952" s="12"/>
      <c r="C952" s="12"/>
      <c r="D952" s="12"/>
      <c r="E952" s="12"/>
      <c r="F952" s="55"/>
      <c r="G952" s="55"/>
      <c r="H952" s="55"/>
      <c r="I952" s="55"/>
      <c r="J952" s="55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>
      <c r="A953" s="12"/>
      <c r="B953" s="12"/>
      <c r="C953" s="12"/>
      <c r="D953" s="12"/>
      <c r="E953" s="12"/>
      <c r="F953" s="55"/>
      <c r="G953" s="55"/>
      <c r="H953" s="55"/>
      <c r="I953" s="55"/>
      <c r="J953" s="55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>
      <c r="A954" s="12"/>
      <c r="B954" s="12"/>
      <c r="C954" s="12"/>
      <c r="D954" s="12"/>
      <c r="E954" s="12"/>
      <c r="F954" s="55"/>
      <c r="G954" s="55"/>
      <c r="H954" s="55"/>
      <c r="I954" s="55"/>
      <c r="J954" s="55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>
      <c r="A955" s="12"/>
      <c r="B955" s="12"/>
      <c r="C955" s="12"/>
      <c r="D955" s="12"/>
      <c r="E955" s="12"/>
      <c r="F955" s="55"/>
      <c r="G955" s="55"/>
      <c r="H955" s="55"/>
      <c r="I955" s="55"/>
      <c r="J955" s="55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>
      <c r="A956" s="12"/>
      <c r="B956" s="12"/>
      <c r="C956" s="12"/>
      <c r="D956" s="12"/>
      <c r="E956" s="12"/>
      <c r="F956" s="55"/>
      <c r="G956" s="55"/>
      <c r="H956" s="55"/>
      <c r="I956" s="55"/>
      <c r="J956" s="55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>
      <c r="A957" s="12"/>
      <c r="B957" s="12"/>
      <c r="C957" s="12"/>
      <c r="D957" s="12"/>
      <c r="E957" s="12"/>
      <c r="F957" s="55"/>
      <c r="G957" s="55"/>
      <c r="H957" s="55"/>
      <c r="I957" s="55"/>
      <c r="J957" s="55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>
      <c r="A958" s="12"/>
      <c r="B958" s="12"/>
      <c r="C958" s="12"/>
      <c r="D958" s="12"/>
      <c r="E958" s="12"/>
      <c r="F958" s="55"/>
      <c r="G958" s="55"/>
      <c r="H958" s="55"/>
      <c r="I958" s="55"/>
      <c r="J958" s="55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>
      <c r="A959" s="12"/>
      <c r="B959" s="12"/>
      <c r="C959" s="12"/>
      <c r="D959" s="12"/>
      <c r="E959" s="12"/>
      <c r="F959" s="55"/>
      <c r="G959" s="55"/>
      <c r="H959" s="55"/>
      <c r="I959" s="55"/>
      <c r="J959" s="55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>
      <c r="A960" s="12"/>
      <c r="B960" s="12"/>
      <c r="C960" s="12"/>
      <c r="D960" s="12"/>
      <c r="E960" s="12"/>
      <c r="F960" s="55"/>
      <c r="G960" s="55"/>
      <c r="H960" s="55"/>
      <c r="I960" s="55"/>
      <c r="J960" s="55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>
      <c r="A961" s="12"/>
      <c r="B961" s="12"/>
      <c r="C961" s="12"/>
      <c r="D961" s="12"/>
      <c r="E961" s="12"/>
      <c r="F961" s="55"/>
      <c r="G961" s="55"/>
      <c r="H961" s="55"/>
      <c r="I961" s="55"/>
      <c r="J961" s="55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>
      <c r="A962" s="12"/>
      <c r="B962" s="12"/>
      <c r="C962" s="12"/>
      <c r="D962" s="12"/>
      <c r="E962" s="12"/>
      <c r="F962" s="55"/>
      <c r="G962" s="55"/>
      <c r="H962" s="55"/>
      <c r="I962" s="55"/>
      <c r="J962" s="55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>
      <c r="A963" s="12"/>
      <c r="B963" s="12"/>
      <c r="C963" s="12"/>
      <c r="D963" s="12"/>
      <c r="E963" s="12"/>
      <c r="F963" s="55"/>
      <c r="G963" s="55"/>
      <c r="H963" s="55"/>
      <c r="I963" s="55"/>
      <c r="J963" s="55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>
      <c r="A964" s="12"/>
      <c r="B964" s="12"/>
      <c r="C964" s="12"/>
      <c r="D964" s="12"/>
      <c r="E964" s="12"/>
      <c r="F964" s="55"/>
      <c r="G964" s="55"/>
      <c r="H964" s="55"/>
      <c r="I964" s="55"/>
      <c r="J964" s="55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>
      <c r="A965" s="12"/>
      <c r="B965" s="12"/>
      <c r="C965" s="12"/>
      <c r="D965" s="12"/>
      <c r="E965" s="12"/>
      <c r="F965" s="55"/>
      <c r="G965" s="55"/>
      <c r="H965" s="55"/>
      <c r="I965" s="55"/>
      <c r="J965" s="55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>
      <c r="A966" s="12"/>
      <c r="B966" s="12"/>
      <c r="C966" s="12"/>
      <c r="D966" s="12"/>
      <c r="E966" s="12"/>
      <c r="F966" s="55"/>
      <c r="G966" s="55"/>
      <c r="H966" s="55"/>
      <c r="I966" s="55"/>
      <c r="J966" s="55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>
      <c r="A967" s="12"/>
      <c r="B967" s="12"/>
      <c r="C967" s="12"/>
      <c r="D967" s="12"/>
      <c r="E967" s="12"/>
      <c r="F967" s="55"/>
      <c r="G967" s="55"/>
      <c r="H967" s="55"/>
      <c r="I967" s="55"/>
      <c r="J967" s="55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>
      <c r="A968" s="12"/>
      <c r="B968" s="12"/>
      <c r="C968" s="12"/>
      <c r="D968" s="12"/>
      <c r="E968" s="12"/>
      <c r="F968" s="55"/>
      <c r="G968" s="55"/>
      <c r="H968" s="55"/>
      <c r="I968" s="55"/>
      <c r="J968" s="55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>
      <c r="A969" s="12"/>
      <c r="B969" s="12"/>
      <c r="C969" s="12"/>
      <c r="D969" s="12"/>
      <c r="E969" s="12"/>
      <c r="F969" s="55"/>
      <c r="G969" s="55"/>
      <c r="H969" s="55"/>
      <c r="I969" s="55"/>
      <c r="J969" s="55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>
      <c r="A970" s="12"/>
      <c r="B970" s="12"/>
      <c r="C970" s="12"/>
      <c r="D970" s="12"/>
      <c r="E970" s="12"/>
      <c r="F970" s="55"/>
      <c r="G970" s="55"/>
      <c r="H970" s="55"/>
      <c r="I970" s="55"/>
      <c r="J970" s="55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>
      <c r="A971" s="12"/>
      <c r="B971" s="12"/>
      <c r="C971" s="12"/>
      <c r="D971" s="12"/>
      <c r="E971" s="12"/>
      <c r="F971" s="55"/>
      <c r="G971" s="55"/>
      <c r="H971" s="55"/>
      <c r="I971" s="55"/>
      <c r="J971" s="55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>
      <c r="A972" s="12"/>
      <c r="B972" s="12"/>
      <c r="C972" s="12"/>
      <c r="D972" s="12"/>
      <c r="E972" s="12"/>
      <c r="F972" s="55"/>
      <c r="G972" s="55"/>
      <c r="H972" s="55"/>
      <c r="I972" s="55"/>
      <c r="J972" s="55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>
      <c r="A973" s="12"/>
      <c r="B973" s="12"/>
      <c r="C973" s="12"/>
      <c r="D973" s="12"/>
      <c r="E973" s="12"/>
      <c r="F973" s="55"/>
      <c r="G973" s="55"/>
      <c r="H973" s="55"/>
      <c r="I973" s="55"/>
      <c r="J973" s="55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>
      <c r="A974" s="12"/>
      <c r="B974" s="12"/>
      <c r="C974" s="12"/>
      <c r="D974" s="12"/>
      <c r="E974" s="12"/>
      <c r="F974" s="55"/>
      <c r="G974" s="55"/>
      <c r="H974" s="55"/>
      <c r="I974" s="55"/>
      <c r="J974" s="55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>
      <c r="A975" s="12"/>
      <c r="B975" s="12"/>
      <c r="C975" s="12"/>
      <c r="D975" s="12"/>
      <c r="E975" s="12"/>
      <c r="F975" s="55"/>
      <c r="G975" s="55"/>
      <c r="H975" s="55"/>
      <c r="I975" s="55"/>
      <c r="J975" s="55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>
      <c r="A976" s="12"/>
      <c r="B976" s="12"/>
      <c r="C976" s="12"/>
      <c r="D976" s="12"/>
      <c r="E976" s="12"/>
      <c r="F976" s="55"/>
      <c r="G976" s="55"/>
      <c r="H976" s="55"/>
      <c r="I976" s="55"/>
      <c r="J976" s="55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>
      <c r="A977" s="12"/>
      <c r="B977" s="12"/>
      <c r="C977" s="12"/>
      <c r="D977" s="12"/>
      <c r="E977" s="12"/>
      <c r="F977" s="55"/>
      <c r="G977" s="55"/>
      <c r="H977" s="55"/>
      <c r="I977" s="55"/>
      <c r="J977" s="55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>
      <c r="A978" s="12"/>
      <c r="B978" s="12"/>
      <c r="C978" s="12"/>
      <c r="D978" s="12"/>
      <c r="E978" s="12"/>
      <c r="F978" s="55"/>
      <c r="G978" s="55"/>
      <c r="H978" s="55"/>
      <c r="I978" s="55"/>
      <c r="J978" s="55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>
      <c r="A979" s="12"/>
      <c r="B979" s="12"/>
      <c r="C979" s="12"/>
      <c r="D979" s="12"/>
      <c r="E979" s="12"/>
      <c r="F979" s="55"/>
      <c r="G979" s="55"/>
      <c r="H979" s="55"/>
      <c r="I979" s="55"/>
      <c r="J979" s="55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>
      <c r="A980" s="12"/>
      <c r="B980" s="12"/>
      <c r="C980" s="12"/>
      <c r="D980" s="12"/>
      <c r="E980" s="12"/>
      <c r="F980" s="55"/>
      <c r="G980" s="55"/>
      <c r="H980" s="55"/>
      <c r="I980" s="55"/>
      <c r="J980" s="55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>
      <c r="A981" s="12"/>
      <c r="B981" s="12"/>
      <c r="C981" s="12"/>
      <c r="D981" s="12"/>
      <c r="E981" s="12"/>
      <c r="F981" s="55"/>
      <c r="G981" s="55"/>
      <c r="H981" s="55"/>
      <c r="I981" s="55"/>
      <c r="J981" s="55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>
      <c r="A982" s="12"/>
      <c r="B982" s="12"/>
      <c r="C982" s="12"/>
      <c r="D982" s="12"/>
      <c r="E982" s="12"/>
      <c r="F982" s="55"/>
      <c r="G982" s="55"/>
      <c r="H982" s="55"/>
      <c r="I982" s="55"/>
      <c r="J982" s="55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>
      <c r="A983" s="12"/>
      <c r="B983" s="12"/>
      <c r="C983" s="12"/>
      <c r="D983" s="12"/>
      <c r="E983" s="12"/>
      <c r="F983" s="55"/>
      <c r="G983" s="55"/>
      <c r="H983" s="55"/>
      <c r="I983" s="55"/>
      <c r="J983" s="55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>
      <c r="A984" s="12"/>
      <c r="B984" s="12"/>
      <c r="C984" s="12"/>
      <c r="D984" s="12"/>
      <c r="E984" s="12"/>
      <c r="F984" s="55"/>
      <c r="G984" s="55"/>
      <c r="H984" s="55"/>
      <c r="I984" s="55"/>
      <c r="J984" s="55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>
      <c r="A985" s="12"/>
      <c r="B985" s="12"/>
      <c r="C985" s="12"/>
      <c r="D985" s="12"/>
      <c r="E985" s="12"/>
      <c r="F985" s="55"/>
      <c r="G985" s="55"/>
      <c r="H985" s="55"/>
      <c r="I985" s="55"/>
      <c r="J985" s="55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>
      <c r="A986" s="12"/>
      <c r="B986" s="12"/>
      <c r="C986" s="12"/>
      <c r="D986" s="12"/>
      <c r="E986" s="12"/>
      <c r="F986" s="55"/>
      <c r="G986" s="55"/>
      <c r="H986" s="55"/>
      <c r="I986" s="55"/>
      <c r="J986" s="55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>
      <c r="A987" s="12"/>
      <c r="B987" s="12"/>
      <c r="C987" s="12"/>
      <c r="D987" s="12"/>
      <c r="E987" s="12"/>
      <c r="F987" s="55"/>
      <c r="G987" s="55"/>
      <c r="H987" s="55"/>
      <c r="I987" s="55"/>
      <c r="J987" s="55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>
      <c r="A988" s="12"/>
      <c r="B988" s="12"/>
      <c r="C988" s="12"/>
      <c r="D988" s="12"/>
      <c r="E988" s="12"/>
      <c r="F988" s="55"/>
      <c r="G988" s="55"/>
      <c r="H988" s="55"/>
      <c r="I988" s="55"/>
      <c r="J988" s="55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>
      <c r="A989" s="12"/>
      <c r="B989" s="12"/>
      <c r="C989" s="12"/>
      <c r="D989" s="12"/>
      <c r="E989" s="12"/>
      <c r="F989" s="55"/>
      <c r="G989" s="55"/>
      <c r="H989" s="55"/>
      <c r="I989" s="55"/>
      <c r="J989" s="55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>
      <c r="A990" s="12"/>
      <c r="B990" s="12"/>
      <c r="C990" s="12"/>
      <c r="D990" s="12"/>
      <c r="E990" s="12"/>
      <c r="F990" s="55"/>
      <c r="G990" s="55"/>
      <c r="H990" s="55"/>
      <c r="I990" s="55"/>
      <c r="J990" s="55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>
      <c r="A991" s="12"/>
      <c r="B991" s="12"/>
      <c r="C991" s="12"/>
      <c r="D991" s="12"/>
      <c r="E991" s="12"/>
      <c r="F991" s="55"/>
      <c r="G991" s="55"/>
      <c r="H991" s="55"/>
      <c r="I991" s="55"/>
      <c r="J991" s="55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>
      <c r="A992" s="12"/>
      <c r="B992" s="12"/>
      <c r="C992" s="12"/>
      <c r="D992" s="12"/>
      <c r="E992" s="12"/>
      <c r="F992" s="55"/>
      <c r="G992" s="55"/>
      <c r="H992" s="55"/>
      <c r="I992" s="55"/>
      <c r="J992" s="55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>
      <c r="A993" s="12"/>
      <c r="B993" s="12"/>
      <c r="C993" s="12"/>
      <c r="D993" s="12"/>
      <c r="E993" s="12"/>
      <c r="F993" s="55"/>
      <c r="G993" s="55"/>
      <c r="H993" s="55"/>
      <c r="I993" s="55"/>
      <c r="J993" s="55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>
      <c r="A994" s="12"/>
      <c r="B994" s="12"/>
      <c r="C994" s="12"/>
      <c r="D994" s="12"/>
      <c r="E994" s="12"/>
      <c r="F994" s="55"/>
      <c r="G994" s="55"/>
      <c r="H994" s="55"/>
      <c r="I994" s="55"/>
      <c r="J994" s="55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>
      <c r="A995" s="12"/>
      <c r="B995" s="12"/>
      <c r="C995" s="12"/>
      <c r="D995" s="12"/>
      <c r="E995" s="12"/>
      <c r="F995" s="55"/>
      <c r="G995" s="55"/>
      <c r="H995" s="55"/>
      <c r="I995" s="55"/>
      <c r="J995" s="55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>
      <c r="A996" s="12"/>
      <c r="B996" s="12"/>
      <c r="C996" s="12"/>
      <c r="D996" s="12"/>
      <c r="E996" s="12"/>
      <c r="F996" s="55"/>
      <c r="G996" s="55"/>
      <c r="H996" s="55"/>
      <c r="I996" s="55"/>
      <c r="J996" s="55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>
      <c r="A997" s="12"/>
      <c r="B997" s="12"/>
      <c r="C997" s="12"/>
      <c r="D997" s="12"/>
      <c r="E997" s="12"/>
      <c r="F997" s="55"/>
      <c r="G997" s="55"/>
      <c r="H997" s="55"/>
      <c r="I997" s="55"/>
      <c r="J997" s="55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>
      <c r="A998" s="12"/>
      <c r="B998" s="12"/>
      <c r="C998" s="12"/>
      <c r="D998" s="12"/>
      <c r="E998" s="12"/>
      <c r="F998" s="55"/>
      <c r="G998" s="55"/>
      <c r="H998" s="55"/>
      <c r="I998" s="55"/>
      <c r="J998" s="55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>
      <c r="A999" s="12"/>
      <c r="B999" s="12"/>
      <c r="C999" s="12"/>
      <c r="D999" s="12"/>
      <c r="E999" s="12"/>
      <c r="F999" s="55"/>
      <c r="G999" s="55"/>
      <c r="H999" s="55"/>
      <c r="I999" s="55"/>
      <c r="J999" s="55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  <row r="1000">
      <c r="A1000" s="12"/>
      <c r="B1000" s="12"/>
      <c r="C1000" s="12"/>
      <c r="D1000" s="12"/>
      <c r="E1000" s="12"/>
      <c r="F1000" s="55"/>
      <c r="G1000" s="55"/>
      <c r="H1000" s="55"/>
      <c r="I1000" s="55"/>
      <c r="J1000" s="55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</row>
    <row r="1001">
      <c r="A1001" s="12"/>
      <c r="B1001" s="12"/>
      <c r="C1001" s="12"/>
      <c r="D1001" s="12"/>
      <c r="E1001" s="12"/>
      <c r="F1001" s="55"/>
      <c r="G1001" s="55"/>
      <c r="H1001" s="55"/>
      <c r="I1001" s="55"/>
      <c r="J1001" s="55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</row>
    <row r="1002">
      <c r="A1002" s="12"/>
      <c r="B1002" s="12"/>
      <c r="C1002" s="12"/>
      <c r="D1002" s="12"/>
      <c r="E1002" s="12"/>
      <c r="F1002" s="55"/>
      <c r="G1002" s="55"/>
      <c r="H1002" s="55"/>
      <c r="I1002" s="55"/>
      <c r="J1002" s="55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</row>
    <row r="1003">
      <c r="A1003" s="12"/>
      <c r="B1003" s="12"/>
      <c r="C1003" s="12"/>
      <c r="D1003" s="12"/>
      <c r="E1003" s="12"/>
      <c r="F1003" s="55"/>
      <c r="G1003" s="55"/>
      <c r="H1003" s="55"/>
      <c r="I1003" s="55"/>
      <c r="J1003" s="55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</row>
    <row r="1004">
      <c r="A1004" s="12"/>
      <c r="B1004" s="12"/>
      <c r="C1004" s="12"/>
      <c r="D1004" s="12"/>
      <c r="E1004" s="12"/>
      <c r="F1004" s="55"/>
      <c r="G1004" s="55"/>
      <c r="H1004" s="55"/>
      <c r="I1004" s="55"/>
      <c r="J1004" s="55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</row>
    <row r="1005">
      <c r="A1005" s="12"/>
      <c r="B1005" s="12"/>
      <c r="C1005" s="12"/>
      <c r="D1005" s="12"/>
      <c r="E1005" s="12"/>
      <c r="F1005" s="55"/>
      <c r="G1005" s="55"/>
      <c r="H1005" s="55"/>
      <c r="I1005" s="55"/>
      <c r="J1005" s="55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</row>
    <row r="1006">
      <c r="A1006" s="12"/>
      <c r="B1006" s="12"/>
      <c r="C1006" s="12"/>
      <c r="D1006" s="12"/>
      <c r="E1006" s="12"/>
      <c r="F1006" s="55"/>
      <c r="G1006" s="55"/>
      <c r="H1006" s="55"/>
      <c r="I1006" s="55"/>
      <c r="J1006" s="55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</row>
    <row r="1007">
      <c r="A1007" s="12"/>
      <c r="B1007" s="12"/>
      <c r="C1007" s="12"/>
      <c r="D1007" s="12"/>
      <c r="E1007" s="12"/>
      <c r="F1007" s="55"/>
      <c r="G1007" s="55"/>
      <c r="H1007" s="55"/>
      <c r="I1007" s="55"/>
      <c r="J1007" s="55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</row>
    <row r="1008">
      <c r="A1008" s="12"/>
      <c r="B1008" s="12"/>
      <c r="C1008" s="12"/>
      <c r="D1008" s="12"/>
      <c r="E1008" s="12"/>
      <c r="F1008" s="55"/>
      <c r="G1008" s="55"/>
      <c r="H1008" s="55"/>
      <c r="I1008" s="55"/>
      <c r="J1008" s="55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</row>
    <row r="1009">
      <c r="A1009" s="12"/>
      <c r="B1009" s="12"/>
      <c r="C1009" s="12"/>
      <c r="D1009" s="12"/>
      <c r="E1009" s="12"/>
      <c r="F1009" s="55"/>
      <c r="G1009" s="55"/>
      <c r="H1009" s="55"/>
      <c r="I1009" s="55"/>
      <c r="J1009" s="55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</row>
    <row r="1010">
      <c r="A1010" s="12"/>
      <c r="B1010" s="12"/>
      <c r="C1010" s="12"/>
      <c r="D1010" s="12"/>
      <c r="E1010" s="12"/>
      <c r="F1010" s="55"/>
      <c r="G1010" s="55"/>
      <c r="H1010" s="55"/>
      <c r="I1010" s="55"/>
      <c r="J1010" s="55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</row>
    <row r="1011">
      <c r="A1011" s="12"/>
      <c r="B1011" s="12"/>
      <c r="C1011" s="12"/>
      <c r="D1011" s="12"/>
      <c r="E1011" s="12"/>
      <c r="F1011" s="55"/>
      <c r="G1011" s="55"/>
      <c r="H1011" s="55"/>
      <c r="I1011" s="55"/>
      <c r="J1011" s="55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>
      <c r="A1012" s="12"/>
      <c r="B1012" s="12"/>
      <c r="C1012" s="12"/>
      <c r="D1012" s="12"/>
      <c r="E1012" s="12"/>
      <c r="F1012" s="55"/>
      <c r="G1012" s="55"/>
      <c r="H1012" s="55"/>
      <c r="I1012" s="55"/>
      <c r="J1012" s="55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</row>
    <row r="1013">
      <c r="A1013" s="12"/>
      <c r="B1013" s="12"/>
      <c r="C1013" s="12"/>
      <c r="D1013" s="12"/>
      <c r="E1013" s="12"/>
      <c r="F1013" s="55"/>
      <c r="G1013" s="55"/>
      <c r="H1013" s="55"/>
      <c r="I1013" s="55"/>
      <c r="J1013" s="55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</row>
    <row r="1014">
      <c r="A1014" s="12"/>
      <c r="B1014" s="12"/>
      <c r="C1014" s="12"/>
      <c r="D1014" s="12"/>
      <c r="E1014" s="12"/>
      <c r="F1014" s="55"/>
      <c r="G1014" s="55"/>
      <c r="H1014" s="55"/>
      <c r="I1014" s="55"/>
      <c r="J1014" s="55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</row>
    <row r="1015">
      <c r="A1015" s="12"/>
      <c r="B1015" s="12"/>
      <c r="C1015" s="12"/>
      <c r="D1015" s="12"/>
      <c r="E1015" s="12"/>
      <c r="F1015" s="55"/>
      <c r="G1015" s="55"/>
      <c r="H1015" s="55"/>
      <c r="I1015" s="55"/>
      <c r="J1015" s="55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</row>
    <row r="1016">
      <c r="A1016" s="12"/>
      <c r="B1016" s="12"/>
      <c r="C1016" s="12"/>
      <c r="D1016" s="12"/>
      <c r="E1016" s="12"/>
      <c r="F1016" s="55"/>
      <c r="G1016" s="55"/>
      <c r="H1016" s="55"/>
      <c r="I1016" s="55"/>
      <c r="J1016" s="55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</row>
    <row r="1017">
      <c r="A1017" s="12"/>
      <c r="B1017" s="12"/>
      <c r="C1017" s="12"/>
      <c r="D1017" s="12"/>
      <c r="E1017" s="12"/>
      <c r="F1017" s="55"/>
      <c r="G1017" s="55"/>
      <c r="H1017" s="55"/>
      <c r="I1017" s="55"/>
      <c r="J1017" s="55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</row>
    <row r="1018">
      <c r="A1018" s="12"/>
      <c r="B1018" s="12"/>
      <c r="C1018" s="12"/>
      <c r="D1018" s="12"/>
      <c r="E1018" s="12"/>
      <c r="F1018" s="55"/>
      <c r="G1018" s="55"/>
      <c r="H1018" s="55"/>
      <c r="I1018" s="55"/>
      <c r="J1018" s="55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</row>
    <row r="1019">
      <c r="A1019" s="12"/>
      <c r="B1019" s="12"/>
      <c r="C1019" s="12"/>
      <c r="D1019" s="12"/>
      <c r="E1019" s="12"/>
      <c r="F1019" s="55"/>
      <c r="G1019" s="55"/>
      <c r="H1019" s="55"/>
      <c r="I1019" s="55"/>
      <c r="J1019" s="55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</row>
    <row r="1020">
      <c r="A1020" s="12"/>
      <c r="B1020" s="12"/>
      <c r="C1020" s="12"/>
      <c r="D1020" s="12"/>
      <c r="E1020" s="12"/>
      <c r="F1020" s="55"/>
      <c r="G1020" s="55"/>
      <c r="H1020" s="55"/>
      <c r="I1020" s="55"/>
      <c r="J1020" s="55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</row>
    <row r="1021">
      <c r="A1021" s="12"/>
      <c r="B1021" s="12"/>
      <c r="C1021" s="12"/>
      <c r="D1021" s="12"/>
      <c r="E1021" s="12"/>
      <c r="F1021" s="55"/>
      <c r="G1021" s="55"/>
      <c r="H1021" s="55"/>
      <c r="I1021" s="55"/>
      <c r="J1021" s="55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2"/>
    <hyperlink r:id="rId70" ref="B73"/>
    <hyperlink r:id="rId71" ref="B74"/>
    <hyperlink r:id="rId72" ref="B76"/>
    <hyperlink r:id="rId73" ref="B77"/>
    <hyperlink r:id="rId74" ref="B78"/>
    <hyperlink r:id="rId75" ref="B79"/>
    <hyperlink r:id="rId76" ref="B80"/>
    <hyperlink r:id="rId77" ref="B81"/>
    <hyperlink r:id="rId78" ref="B82"/>
    <hyperlink r:id="rId79" ref="B83"/>
    <hyperlink r:id="rId80" ref="B84"/>
    <hyperlink r:id="rId81" ref="B85"/>
    <hyperlink r:id="rId82" ref="B86"/>
    <hyperlink r:id="rId83" ref="B87"/>
    <hyperlink r:id="rId84" ref="B88"/>
    <hyperlink r:id="rId85" ref="B90"/>
    <hyperlink r:id="rId86" ref="B93"/>
    <hyperlink r:id="rId87" ref="B94"/>
    <hyperlink r:id="rId88" ref="B95"/>
    <hyperlink r:id="rId89" ref="B96"/>
    <hyperlink r:id="rId90" ref="B97"/>
    <hyperlink r:id="rId91" ref="B98"/>
    <hyperlink r:id="rId92" ref="B99"/>
    <hyperlink r:id="rId93" ref="B100"/>
    <hyperlink r:id="rId94" ref="B101"/>
    <hyperlink r:id="rId95" ref="B102"/>
    <hyperlink r:id="rId96" ref="B103"/>
    <hyperlink r:id="rId97" ref="B104"/>
    <hyperlink r:id="rId98" ref="B105"/>
    <hyperlink r:id="rId99" ref="B106"/>
    <hyperlink r:id="rId100" ref="B107"/>
    <hyperlink r:id="rId101" ref="B108"/>
    <hyperlink r:id="rId102" ref="B109"/>
    <hyperlink r:id="rId103" ref="B110"/>
    <hyperlink r:id="rId104" ref="B111"/>
    <hyperlink r:id="rId105" ref="B113"/>
    <hyperlink r:id="rId106" ref="B114"/>
    <hyperlink r:id="rId107" ref="B115"/>
    <hyperlink r:id="rId108" ref="B116"/>
    <hyperlink r:id="rId109" ref="B117"/>
    <hyperlink r:id="rId110" ref="B118"/>
    <hyperlink r:id="rId111" ref="B119"/>
    <hyperlink r:id="rId112" ref="B120"/>
    <hyperlink r:id="rId113" ref="B121"/>
    <hyperlink r:id="rId114" ref="B122"/>
    <hyperlink r:id="rId115" ref="B123"/>
    <hyperlink r:id="rId116" ref="B124"/>
    <hyperlink r:id="rId117" ref="B125"/>
    <hyperlink r:id="rId118" ref="B126"/>
    <hyperlink r:id="rId119" ref="B127"/>
    <hyperlink r:id="rId120" ref="B128"/>
    <hyperlink r:id="rId121" ref="B131"/>
    <hyperlink r:id="rId122" ref="B133"/>
    <hyperlink r:id="rId123" ref="B137"/>
    <hyperlink r:id="rId124" ref="B138"/>
    <hyperlink r:id="rId125" ref="B139"/>
    <hyperlink r:id="rId126" ref="B140"/>
    <hyperlink r:id="rId127" ref="B141"/>
    <hyperlink r:id="rId128" ref="F142"/>
    <hyperlink r:id="rId129" ref="H142"/>
    <hyperlink r:id="rId130" ref="J142"/>
    <hyperlink r:id="rId131" ref="L142"/>
    <hyperlink r:id="rId132" ref="N142"/>
    <hyperlink r:id="rId133" ref="P142"/>
    <hyperlink r:id="rId134" ref="R142"/>
    <hyperlink r:id="rId135" ref="T142"/>
    <hyperlink r:id="rId136" ref="V142"/>
    <hyperlink r:id="rId137" ref="X142"/>
    <hyperlink r:id="rId138" ref="Z142"/>
    <hyperlink r:id="rId139" ref="AB142"/>
    <hyperlink r:id="rId140" ref="AD142"/>
    <hyperlink r:id="rId141" ref="AF142"/>
  </hyperlinks>
  <drawing r:id="rId1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63"/>
    <col customWidth="1" min="4" max="4" width="16.25"/>
  </cols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509</v>
      </c>
      <c r="G1" s="59" t="s">
        <v>510</v>
      </c>
      <c r="H1" s="58" t="s">
        <v>511</v>
      </c>
      <c r="I1" s="60" t="s">
        <v>512</v>
      </c>
      <c r="J1" s="61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>
      <c r="A2" s="63" t="s">
        <v>8</v>
      </c>
      <c r="B2" s="64" t="s">
        <v>9</v>
      </c>
      <c r="C2" s="63" t="s">
        <v>10</v>
      </c>
      <c r="D2" s="65" t="s">
        <v>11</v>
      </c>
      <c r="E2" s="65">
        <v>775.0</v>
      </c>
      <c r="F2" s="66" t="s">
        <v>513</v>
      </c>
      <c r="G2" s="66" t="s">
        <v>513</v>
      </c>
      <c r="H2" s="67"/>
      <c r="I2" s="68"/>
      <c r="J2" s="68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>
      <c r="A3" s="63" t="s">
        <v>12</v>
      </c>
      <c r="B3" s="64" t="s">
        <v>13</v>
      </c>
      <c r="C3" s="63" t="s">
        <v>14</v>
      </c>
      <c r="D3" s="65" t="s">
        <v>15</v>
      </c>
      <c r="E3" s="65">
        <v>401.0</v>
      </c>
      <c r="F3" s="70" t="s">
        <v>513</v>
      </c>
      <c r="G3" s="70" t="s">
        <v>513</v>
      </c>
      <c r="H3" s="63" t="s">
        <v>514</v>
      </c>
      <c r="I3" s="63"/>
      <c r="J3" s="63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</row>
    <row r="4">
      <c r="A4" s="63" t="s">
        <v>515</v>
      </c>
      <c r="B4" s="64" t="s">
        <v>516</v>
      </c>
      <c r="C4" s="63" t="s">
        <v>517</v>
      </c>
      <c r="D4" s="65" t="s">
        <v>518</v>
      </c>
      <c r="E4" s="65">
        <v>3966.0</v>
      </c>
      <c r="F4" s="70">
        <v>1883.0</v>
      </c>
      <c r="G4" s="70">
        <v>1894.0</v>
      </c>
      <c r="H4" s="63" t="s">
        <v>519</v>
      </c>
      <c r="I4" s="63"/>
      <c r="J4" s="63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>
      <c r="A5" s="63" t="s">
        <v>520</v>
      </c>
      <c r="B5" s="64" t="s">
        <v>521</v>
      </c>
      <c r="C5" s="63" t="s">
        <v>522</v>
      </c>
      <c r="D5" s="65" t="s">
        <v>523</v>
      </c>
      <c r="E5" s="65">
        <v>3695.0</v>
      </c>
      <c r="F5" s="66">
        <v>1869.0</v>
      </c>
      <c r="G5" s="66">
        <v>1896.0</v>
      </c>
      <c r="H5" s="67"/>
      <c r="I5" s="68"/>
      <c r="J5" s="68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>
      <c r="A6" s="63" t="s">
        <v>524</v>
      </c>
      <c r="B6" s="64" t="s">
        <v>525</v>
      </c>
      <c r="C6" s="63" t="s">
        <v>526</v>
      </c>
      <c r="D6" s="65" t="s">
        <v>527</v>
      </c>
      <c r="E6" s="65">
        <v>779.0</v>
      </c>
      <c r="F6" s="70" t="s">
        <v>513</v>
      </c>
      <c r="G6" s="70" t="s">
        <v>513</v>
      </c>
      <c r="H6" s="63" t="s">
        <v>528</v>
      </c>
      <c r="I6" s="68"/>
      <c r="J6" s="68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>
      <c r="A7" s="63" t="s">
        <v>529</v>
      </c>
      <c r="B7" s="64" t="s">
        <v>530</v>
      </c>
      <c r="C7" s="63" t="s">
        <v>531</v>
      </c>
      <c r="D7" s="65" t="s">
        <v>532</v>
      </c>
      <c r="E7" s="65">
        <v>727.0</v>
      </c>
      <c r="F7" s="71">
        <v>1862.0</v>
      </c>
      <c r="G7" s="71">
        <v>1882.0</v>
      </c>
      <c r="H7" s="63" t="s">
        <v>533</v>
      </c>
      <c r="I7" s="63"/>
      <c r="J7" s="63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>
      <c r="A8" s="63" t="s">
        <v>534</v>
      </c>
      <c r="B8" s="64" t="s">
        <v>535</v>
      </c>
      <c r="C8" s="63" t="s">
        <v>536</v>
      </c>
      <c r="D8" s="65" t="s">
        <v>537</v>
      </c>
      <c r="E8" s="65">
        <v>5153.0</v>
      </c>
      <c r="F8" s="71">
        <v>1887.0</v>
      </c>
      <c r="G8" s="70">
        <v>1899.0</v>
      </c>
      <c r="H8" s="63" t="s">
        <v>538</v>
      </c>
      <c r="I8" s="68"/>
      <c r="J8" s="6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>
      <c r="A9" s="63" t="s">
        <v>539</v>
      </c>
      <c r="B9" s="64" t="s">
        <v>540</v>
      </c>
      <c r="C9" s="63" t="s">
        <v>541</v>
      </c>
      <c r="D9" s="65" t="s">
        <v>542</v>
      </c>
      <c r="E9" s="65">
        <v>1638.0</v>
      </c>
      <c r="F9" s="71">
        <v>1874.0</v>
      </c>
      <c r="G9" s="66">
        <v>1886.0</v>
      </c>
      <c r="H9" s="67"/>
      <c r="I9" s="63"/>
      <c r="J9" s="63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</row>
    <row r="10">
      <c r="A10" s="63" t="s">
        <v>543</v>
      </c>
      <c r="B10" s="64" t="s">
        <v>544</v>
      </c>
      <c r="C10" s="63" t="s">
        <v>545</v>
      </c>
      <c r="D10" s="65" t="s">
        <v>546</v>
      </c>
      <c r="E10" s="65">
        <v>4723.0</v>
      </c>
      <c r="F10" s="71">
        <v>1879.0</v>
      </c>
      <c r="G10" s="66">
        <v>1890.0</v>
      </c>
      <c r="H10" s="72" t="s">
        <v>547</v>
      </c>
      <c r="I10" s="68"/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</row>
    <row r="11">
      <c r="A11" s="63" t="s">
        <v>548</v>
      </c>
      <c r="B11" s="64" t="s">
        <v>549</v>
      </c>
      <c r="C11" s="63" t="s">
        <v>550</v>
      </c>
      <c r="D11" s="65" t="s">
        <v>551</v>
      </c>
      <c r="E11" s="65">
        <v>7142.0</v>
      </c>
      <c r="F11" s="71">
        <v>1888.0</v>
      </c>
      <c r="G11" s="70">
        <v>1890.0</v>
      </c>
      <c r="H11" s="63" t="s">
        <v>552</v>
      </c>
      <c r="I11" s="63"/>
      <c r="J11" s="63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>
      <c r="A12" s="63" t="s">
        <v>16</v>
      </c>
      <c r="B12" s="64" t="s">
        <v>17</v>
      </c>
      <c r="C12" s="63" t="s">
        <v>18</v>
      </c>
      <c r="D12" s="65" t="s">
        <v>19</v>
      </c>
      <c r="E12" s="65">
        <v>8098.0</v>
      </c>
      <c r="F12" s="66" t="s">
        <v>513</v>
      </c>
      <c r="G12" s="66" t="s">
        <v>513</v>
      </c>
      <c r="H12" s="67"/>
      <c r="I12" s="68"/>
      <c r="J12" s="6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>
      <c r="A13" s="63" t="s">
        <v>21</v>
      </c>
      <c r="B13" s="64" t="s">
        <v>22</v>
      </c>
      <c r="C13" s="63" t="s">
        <v>23</v>
      </c>
      <c r="D13" s="65" t="s">
        <v>24</v>
      </c>
      <c r="E13" s="65">
        <v>6233.0</v>
      </c>
      <c r="F13" s="71">
        <v>1909.0</v>
      </c>
      <c r="G13" s="66">
        <v>1911.0</v>
      </c>
      <c r="H13" s="67"/>
      <c r="I13" s="68"/>
      <c r="J13" s="6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>
      <c r="A14" s="63" t="s">
        <v>553</v>
      </c>
      <c r="B14" s="64" t="s">
        <v>554</v>
      </c>
      <c r="C14" s="63" t="s">
        <v>555</v>
      </c>
      <c r="D14" s="65" t="s">
        <v>556</v>
      </c>
      <c r="E14" s="65">
        <v>11649.0</v>
      </c>
      <c r="F14" s="66" t="s">
        <v>513</v>
      </c>
      <c r="G14" s="66" t="s">
        <v>513</v>
      </c>
      <c r="H14" s="67"/>
      <c r="I14" s="63"/>
      <c r="J14" s="63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>
      <c r="A15" s="63" t="s">
        <v>25</v>
      </c>
      <c r="B15" s="64" t="s">
        <v>26</v>
      </c>
      <c r="C15" s="63" t="s">
        <v>27</v>
      </c>
      <c r="D15" s="65" t="s">
        <v>28</v>
      </c>
      <c r="E15" s="65">
        <v>11296.0</v>
      </c>
      <c r="F15" s="70">
        <v>1900.0</v>
      </c>
      <c r="G15" s="70">
        <v>1912.0</v>
      </c>
      <c r="H15" s="63" t="s">
        <v>557</v>
      </c>
      <c r="I15" s="63"/>
      <c r="J15" s="63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>
      <c r="A16" s="63" t="s">
        <v>30</v>
      </c>
      <c r="B16" s="64" t="s">
        <v>31</v>
      </c>
      <c r="C16" s="63" t="s">
        <v>32</v>
      </c>
      <c r="D16" s="65" t="s">
        <v>33</v>
      </c>
      <c r="E16" s="65">
        <v>6978.0</v>
      </c>
      <c r="F16" s="66" t="s">
        <v>513</v>
      </c>
      <c r="G16" s="66" t="s">
        <v>513</v>
      </c>
      <c r="H16" s="67"/>
      <c r="I16" s="63"/>
      <c r="J16" s="63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</row>
    <row r="17">
      <c r="A17" s="63" t="s">
        <v>34</v>
      </c>
      <c r="B17" s="64" t="s">
        <v>35</v>
      </c>
      <c r="C17" s="63" t="s">
        <v>36</v>
      </c>
      <c r="D17" s="65" t="s">
        <v>37</v>
      </c>
      <c r="E17" s="65">
        <v>10220.0</v>
      </c>
      <c r="F17" s="66">
        <v>1884.0</v>
      </c>
      <c r="G17" s="66">
        <v>1912.0</v>
      </c>
      <c r="H17" s="67"/>
      <c r="I17" s="63"/>
      <c r="J17" s="63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</row>
    <row r="18">
      <c r="A18" s="63" t="s">
        <v>38</v>
      </c>
      <c r="B18" s="64" t="s">
        <v>39</v>
      </c>
      <c r="C18" s="63" t="s">
        <v>40</v>
      </c>
      <c r="D18" s="65" t="s">
        <v>41</v>
      </c>
      <c r="E18" s="65">
        <v>10617.0</v>
      </c>
      <c r="F18" s="70">
        <v>1909.0</v>
      </c>
      <c r="G18" s="70">
        <v>1914.0</v>
      </c>
      <c r="H18" s="63" t="s">
        <v>558</v>
      </c>
      <c r="I18" s="72"/>
      <c r="J18" s="72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>
      <c r="A19" s="63" t="s">
        <v>559</v>
      </c>
      <c r="B19" s="64" t="s">
        <v>560</v>
      </c>
      <c r="C19" s="63" t="s">
        <v>561</v>
      </c>
      <c r="D19" s="65" t="s">
        <v>562</v>
      </c>
      <c r="E19" s="65">
        <v>803.0</v>
      </c>
      <c r="F19" s="70" t="s">
        <v>513</v>
      </c>
      <c r="G19" s="70" t="s">
        <v>513</v>
      </c>
      <c r="H19" s="63" t="s">
        <v>563</v>
      </c>
      <c r="I19" s="63"/>
      <c r="J19" s="63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</row>
    <row r="20">
      <c r="A20" s="63" t="s">
        <v>42</v>
      </c>
      <c r="B20" s="64" t="s">
        <v>43</v>
      </c>
      <c r="C20" s="63" t="s">
        <v>44</v>
      </c>
      <c r="D20" s="65" t="s">
        <v>45</v>
      </c>
      <c r="E20" s="65">
        <v>10853.0</v>
      </c>
      <c r="F20" s="71">
        <v>1908.0</v>
      </c>
      <c r="G20" s="70">
        <v>1914.0</v>
      </c>
      <c r="H20" s="63" t="s">
        <v>564</v>
      </c>
      <c r="I20" s="63"/>
      <c r="J20" s="63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>
      <c r="A21" s="63" t="s">
        <v>46</v>
      </c>
      <c r="B21" s="64" t="s">
        <v>47</v>
      </c>
      <c r="C21" s="63" t="s">
        <v>48</v>
      </c>
      <c r="D21" s="65" t="s">
        <v>49</v>
      </c>
      <c r="E21" s="65">
        <v>3637.0</v>
      </c>
      <c r="F21" s="66" t="s">
        <v>513</v>
      </c>
      <c r="G21" s="66" t="s">
        <v>513</v>
      </c>
      <c r="H21" s="67"/>
      <c r="I21" s="72"/>
      <c r="J21" s="72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</row>
    <row r="22">
      <c r="A22" s="63" t="s">
        <v>50</v>
      </c>
      <c r="B22" s="64" t="s">
        <v>51</v>
      </c>
      <c r="C22" s="63" t="s">
        <v>52</v>
      </c>
      <c r="D22" s="65" t="s">
        <v>53</v>
      </c>
      <c r="E22" s="65">
        <v>10155.0</v>
      </c>
      <c r="F22" s="73">
        <v>1888.0</v>
      </c>
      <c r="G22" s="66">
        <v>1915.0</v>
      </c>
      <c r="H22" s="67"/>
      <c r="I22" s="63" t="s">
        <v>565</v>
      </c>
      <c r="J22" s="63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>
      <c r="A23" s="63" t="s">
        <v>54</v>
      </c>
      <c r="B23" s="64" t="s">
        <v>55</v>
      </c>
      <c r="C23" s="63" t="s">
        <v>56</v>
      </c>
      <c r="D23" s="65" t="s">
        <v>57</v>
      </c>
      <c r="E23" s="65">
        <v>11556.0</v>
      </c>
      <c r="F23" s="73">
        <v>1893.0</v>
      </c>
      <c r="G23" s="73">
        <v>1916.0</v>
      </c>
      <c r="H23" s="63" t="s">
        <v>566</v>
      </c>
      <c r="I23" s="68"/>
      <c r="J23" s="68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</row>
    <row r="24">
      <c r="A24" s="63" t="s">
        <v>567</v>
      </c>
      <c r="B24" s="64" t="s">
        <v>568</v>
      </c>
      <c r="C24" s="63" t="s">
        <v>569</v>
      </c>
      <c r="D24" s="65" t="s">
        <v>570</v>
      </c>
      <c r="E24" s="65">
        <v>7069.0</v>
      </c>
      <c r="F24" s="74">
        <v>1893.0</v>
      </c>
      <c r="G24" s="73">
        <v>1898.0</v>
      </c>
      <c r="H24" s="67"/>
      <c r="I24" s="63"/>
      <c r="J24" s="63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</row>
    <row r="25">
      <c r="A25" s="63" t="s">
        <v>571</v>
      </c>
      <c r="B25" s="64" t="s">
        <v>572</v>
      </c>
      <c r="C25" s="63" t="s">
        <v>573</v>
      </c>
      <c r="D25" s="65" t="s">
        <v>574</v>
      </c>
      <c r="E25" s="65">
        <v>12128.0</v>
      </c>
      <c r="F25" s="74">
        <v>1890.0</v>
      </c>
      <c r="G25" s="70">
        <v>1891.0</v>
      </c>
      <c r="H25" s="63" t="s">
        <v>575</v>
      </c>
      <c r="I25" s="63"/>
      <c r="J25" s="63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</row>
    <row r="26">
      <c r="A26" s="63" t="s">
        <v>58</v>
      </c>
      <c r="B26" s="64" t="s">
        <v>59</v>
      </c>
      <c r="C26" s="63" t="s">
        <v>60</v>
      </c>
      <c r="D26" s="65" t="s">
        <v>61</v>
      </c>
      <c r="E26" s="65">
        <v>7255.0</v>
      </c>
      <c r="F26" s="70" t="s">
        <v>513</v>
      </c>
      <c r="G26" s="70" t="s">
        <v>513</v>
      </c>
      <c r="H26" s="63" t="s">
        <v>576</v>
      </c>
      <c r="I26" s="68"/>
      <c r="J26" s="68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>
      <c r="A27" s="63" t="s">
        <v>62</v>
      </c>
      <c r="B27" s="64" t="s">
        <v>63</v>
      </c>
      <c r="C27" s="63" t="s">
        <v>64</v>
      </c>
      <c r="D27" s="65" t="s">
        <v>65</v>
      </c>
      <c r="E27" s="65">
        <v>16938.0</v>
      </c>
      <c r="F27" s="75">
        <v>1891.0</v>
      </c>
      <c r="G27" s="76">
        <v>1917.0</v>
      </c>
      <c r="H27" s="63" t="s">
        <v>577</v>
      </c>
      <c r="I27" s="63"/>
      <c r="J27" s="63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</row>
    <row r="28">
      <c r="A28" s="63" t="s">
        <v>578</v>
      </c>
      <c r="B28" s="64" t="s">
        <v>579</v>
      </c>
      <c r="C28" s="63" t="s">
        <v>580</v>
      </c>
      <c r="D28" s="65" t="s">
        <v>581</v>
      </c>
      <c r="E28" s="65">
        <v>8444.0</v>
      </c>
      <c r="F28" s="74">
        <v>1884.0</v>
      </c>
      <c r="G28" s="73">
        <v>1886.0</v>
      </c>
      <c r="H28" s="67"/>
      <c r="I28" s="63"/>
      <c r="J28" s="63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>
      <c r="A29" s="63" t="s">
        <v>66</v>
      </c>
      <c r="B29" s="64" t="s">
        <v>67</v>
      </c>
      <c r="C29" s="63" t="s">
        <v>68</v>
      </c>
      <c r="D29" s="65" t="s">
        <v>69</v>
      </c>
      <c r="E29" s="65">
        <v>15229.0</v>
      </c>
      <c r="F29" s="74">
        <v>1902.0</v>
      </c>
      <c r="G29" s="66">
        <v>1918.0</v>
      </c>
      <c r="H29" s="67"/>
      <c r="I29" s="63"/>
      <c r="J29" s="63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</row>
    <row r="30">
      <c r="A30" s="63" t="s">
        <v>582</v>
      </c>
      <c r="B30" s="64" t="s">
        <v>583</v>
      </c>
      <c r="C30" s="63" t="s">
        <v>584</v>
      </c>
      <c r="D30" s="65" t="s">
        <v>585</v>
      </c>
      <c r="E30" s="65">
        <v>3990.0</v>
      </c>
      <c r="F30" s="75">
        <v>1885.0</v>
      </c>
      <c r="G30" s="66">
        <v>1910.0</v>
      </c>
      <c r="H30" s="67"/>
      <c r="I30" s="63"/>
      <c r="J30" s="63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>
      <c r="A31" s="63" t="s">
        <v>70</v>
      </c>
      <c r="B31" s="64" t="s">
        <v>71</v>
      </c>
      <c r="C31" s="63" t="s">
        <v>72</v>
      </c>
      <c r="D31" s="65" t="s">
        <v>73</v>
      </c>
      <c r="E31" s="65">
        <v>6710.0</v>
      </c>
      <c r="F31" s="75">
        <v>1889.0</v>
      </c>
      <c r="G31" s="70"/>
      <c r="H31" s="63" t="s">
        <v>586</v>
      </c>
      <c r="I31" s="63"/>
      <c r="J31" s="63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</row>
    <row r="32">
      <c r="A32" s="63" t="s">
        <v>74</v>
      </c>
      <c r="B32" s="64" t="s">
        <v>75</v>
      </c>
      <c r="C32" s="63" t="s">
        <v>76</v>
      </c>
      <c r="D32" s="65" t="s">
        <v>77</v>
      </c>
      <c r="E32" s="65">
        <v>6299.0</v>
      </c>
      <c r="F32" s="75">
        <v>1886.0</v>
      </c>
      <c r="G32" s="70">
        <v>1917.0</v>
      </c>
      <c r="H32" s="63" t="s">
        <v>587</v>
      </c>
      <c r="I32" s="72"/>
      <c r="J32" s="68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>
      <c r="A33" s="63" t="s">
        <v>588</v>
      </c>
      <c r="B33" s="64" t="s">
        <v>589</v>
      </c>
      <c r="C33" s="63" t="s">
        <v>590</v>
      </c>
      <c r="D33" s="65" t="s">
        <v>591</v>
      </c>
      <c r="E33" s="65">
        <v>3036.0</v>
      </c>
      <c r="F33" s="66" t="s">
        <v>513</v>
      </c>
      <c r="G33" s="66" t="s">
        <v>513</v>
      </c>
      <c r="H33" s="67"/>
      <c r="I33" s="63"/>
      <c r="J33" s="63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>
      <c r="A34" s="63" t="s">
        <v>78</v>
      </c>
      <c r="B34" s="64" t="s">
        <v>79</v>
      </c>
      <c r="C34" s="63" t="s">
        <v>80</v>
      </c>
      <c r="D34" s="65" t="s">
        <v>81</v>
      </c>
      <c r="E34" s="65">
        <v>14036.0</v>
      </c>
      <c r="F34" s="70">
        <v>1916.0</v>
      </c>
      <c r="G34" s="70">
        <v>1922.0</v>
      </c>
      <c r="H34" s="63" t="s">
        <v>592</v>
      </c>
      <c r="I34" s="63"/>
      <c r="J34" s="63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>
      <c r="A35" s="63" t="s">
        <v>593</v>
      </c>
      <c r="B35" s="64" t="s">
        <v>594</v>
      </c>
      <c r="C35" s="63" t="s">
        <v>595</v>
      </c>
      <c r="D35" s="65" t="s">
        <v>596</v>
      </c>
      <c r="E35" s="65">
        <v>10038.0</v>
      </c>
      <c r="F35" s="66" t="s">
        <v>513</v>
      </c>
      <c r="G35" s="66" t="s">
        <v>513</v>
      </c>
      <c r="H35" s="67"/>
      <c r="I35" s="63"/>
      <c r="J35" s="63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</row>
    <row r="36">
      <c r="A36" s="63" t="s">
        <v>597</v>
      </c>
      <c r="B36" s="64" t="s">
        <v>598</v>
      </c>
      <c r="C36" s="63" t="s">
        <v>599</v>
      </c>
      <c r="D36" s="65" t="s">
        <v>600</v>
      </c>
      <c r="E36" s="65">
        <v>4438.0</v>
      </c>
      <c r="F36" s="75">
        <v>1911.0</v>
      </c>
      <c r="G36" s="70">
        <v>1912.0</v>
      </c>
      <c r="H36" s="63" t="s">
        <v>601</v>
      </c>
      <c r="I36" s="68"/>
      <c r="J36" s="68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</row>
    <row r="37">
      <c r="A37" s="63" t="s">
        <v>602</v>
      </c>
      <c r="B37" s="64" t="s">
        <v>603</v>
      </c>
      <c r="C37" s="63" t="s">
        <v>604</v>
      </c>
      <c r="D37" s="65" t="s">
        <v>605</v>
      </c>
      <c r="E37" s="65">
        <v>14375.0</v>
      </c>
      <c r="F37" s="70">
        <v>1909.0</v>
      </c>
      <c r="G37" s="70">
        <v>1923.0</v>
      </c>
      <c r="H37" s="63" t="s">
        <v>606</v>
      </c>
      <c r="I37" s="68"/>
      <c r="J37" s="68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</row>
    <row r="38">
      <c r="A38" s="63" t="s">
        <v>82</v>
      </c>
      <c r="B38" s="64" t="s">
        <v>83</v>
      </c>
      <c r="C38" s="63" t="s">
        <v>84</v>
      </c>
      <c r="D38" s="65" t="s">
        <v>85</v>
      </c>
      <c r="E38" s="65">
        <v>8932.0</v>
      </c>
      <c r="F38" s="75">
        <v>1890.0</v>
      </c>
      <c r="G38" s="70">
        <v>1923.0</v>
      </c>
      <c r="H38" s="63" t="s">
        <v>607</v>
      </c>
      <c r="I38" s="63"/>
      <c r="J38" s="63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>
      <c r="A39" s="63" t="s">
        <v>608</v>
      </c>
      <c r="B39" s="64" t="s">
        <v>609</v>
      </c>
      <c r="C39" s="63" t="s">
        <v>610</v>
      </c>
      <c r="D39" s="65" t="s">
        <v>611</v>
      </c>
      <c r="E39" s="65">
        <v>12853.0</v>
      </c>
      <c r="F39" s="70">
        <v>1911.0</v>
      </c>
      <c r="G39" s="70">
        <v>1924.0</v>
      </c>
      <c r="H39" s="63" t="s">
        <v>612</v>
      </c>
      <c r="I39" s="68"/>
      <c r="J39" s="68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</row>
    <row r="40">
      <c r="A40" s="63" t="s">
        <v>613</v>
      </c>
      <c r="B40" s="64" t="s">
        <v>614</v>
      </c>
      <c r="C40" s="63" t="s">
        <v>615</v>
      </c>
      <c r="D40" s="65" t="s">
        <v>616</v>
      </c>
      <c r="E40" s="65">
        <v>12993.0</v>
      </c>
      <c r="F40" s="66">
        <v>1891.0</v>
      </c>
      <c r="G40" s="66">
        <v>1894.0</v>
      </c>
      <c r="H40" s="67"/>
      <c r="I40" s="68"/>
      <c r="J40" s="68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</row>
    <row r="41">
      <c r="A41" s="63" t="s">
        <v>86</v>
      </c>
      <c r="B41" s="64" t="s">
        <v>87</v>
      </c>
      <c r="C41" s="63" t="s">
        <v>88</v>
      </c>
      <c r="D41" s="65" t="s">
        <v>89</v>
      </c>
      <c r="E41" s="65">
        <v>11324.0</v>
      </c>
      <c r="F41" s="75">
        <v>1900.0</v>
      </c>
      <c r="G41" s="70">
        <v>1924.0</v>
      </c>
      <c r="H41" s="63" t="s">
        <v>617</v>
      </c>
      <c r="I41" s="68"/>
      <c r="J41" s="68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</row>
    <row r="42">
      <c r="A42" s="63" t="s">
        <v>90</v>
      </c>
      <c r="B42" s="64" t="s">
        <v>91</v>
      </c>
      <c r="C42" s="63" t="s">
        <v>92</v>
      </c>
      <c r="D42" s="65" t="s">
        <v>93</v>
      </c>
      <c r="E42" s="65">
        <v>18755.0</v>
      </c>
      <c r="F42" s="75">
        <v>1909.0</v>
      </c>
      <c r="G42" s="70">
        <v>1926.0</v>
      </c>
      <c r="H42" s="63" t="s">
        <v>618</v>
      </c>
      <c r="I42" s="63"/>
      <c r="J42" s="63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</row>
    <row r="43">
      <c r="A43" s="63" t="s">
        <v>94</v>
      </c>
      <c r="B43" s="64" t="s">
        <v>95</v>
      </c>
      <c r="C43" s="63" t="s">
        <v>96</v>
      </c>
      <c r="D43" s="65" t="s">
        <v>97</v>
      </c>
      <c r="E43" s="65">
        <v>13970.0</v>
      </c>
      <c r="F43" s="75">
        <v>1901.0</v>
      </c>
      <c r="G43" s="70">
        <v>1926.0</v>
      </c>
      <c r="H43" s="63" t="s">
        <v>619</v>
      </c>
      <c r="I43" s="68"/>
      <c r="J43" s="68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</row>
    <row r="44">
      <c r="A44" s="63" t="s">
        <v>98</v>
      </c>
      <c r="B44" s="64" t="s">
        <v>99</v>
      </c>
      <c r="C44" s="63" t="s">
        <v>100</v>
      </c>
      <c r="D44" s="65" t="s">
        <v>101</v>
      </c>
      <c r="E44" s="65">
        <v>13982.0</v>
      </c>
      <c r="F44" s="70">
        <v>1908.0</v>
      </c>
      <c r="G44" s="70">
        <v>1927.0</v>
      </c>
      <c r="H44" s="63" t="s">
        <v>620</v>
      </c>
      <c r="I44" s="68"/>
      <c r="J44" s="68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>
      <c r="A45" s="63" t="s">
        <v>102</v>
      </c>
      <c r="B45" s="64" t="s">
        <v>103</v>
      </c>
      <c r="C45" s="63" t="s">
        <v>104</v>
      </c>
      <c r="D45" s="65" t="s">
        <v>105</v>
      </c>
      <c r="E45" s="65">
        <v>14422.0</v>
      </c>
      <c r="F45" s="75">
        <v>1909.0</v>
      </c>
      <c r="G45" s="70">
        <v>1927.0</v>
      </c>
      <c r="H45" s="63" t="s">
        <v>621</v>
      </c>
      <c r="I45" s="68"/>
      <c r="J45" s="68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</row>
    <row r="46">
      <c r="A46" s="63" t="s">
        <v>622</v>
      </c>
      <c r="B46" s="64" t="s">
        <v>623</v>
      </c>
      <c r="C46" s="63" t="s">
        <v>624</v>
      </c>
      <c r="D46" s="65" t="s">
        <v>625</v>
      </c>
      <c r="E46" s="65">
        <v>11393.0</v>
      </c>
      <c r="F46" s="70" t="s">
        <v>513</v>
      </c>
      <c r="G46" s="70" t="s">
        <v>513</v>
      </c>
      <c r="H46" s="63" t="s">
        <v>626</v>
      </c>
      <c r="I46" s="63"/>
      <c r="J46" s="63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>
      <c r="A47" s="63" t="s">
        <v>106</v>
      </c>
      <c r="B47" s="64" t="s">
        <v>107</v>
      </c>
      <c r="C47" s="63" t="s">
        <v>108</v>
      </c>
      <c r="D47" s="65" t="s">
        <v>109</v>
      </c>
      <c r="E47" s="65">
        <v>12767.0</v>
      </c>
      <c r="F47" s="70">
        <v>1918.0</v>
      </c>
      <c r="G47" s="70">
        <v>1928.0</v>
      </c>
      <c r="H47" s="63" t="s">
        <v>627</v>
      </c>
      <c r="I47" s="63"/>
      <c r="J47" s="63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>
      <c r="A48" s="63" t="s">
        <v>110</v>
      </c>
      <c r="B48" s="64" t="s">
        <v>111</v>
      </c>
      <c r="C48" s="63" t="s">
        <v>112</v>
      </c>
      <c r="D48" s="65" t="s">
        <v>113</v>
      </c>
      <c r="E48" s="65">
        <v>15230.0</v>
      </c>
      <c r="F48" s="75">
        <v>1910.0</v>
      </c>
      <c r="G48" s="66">
        <v>1922.0</v>
      </c>
      <c r="H48" s="67"/>
      <c r="I48" s="63"/>
      <c r="J48" s="63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</row>
    <row r="49">
      <c r="A49" s="63" t="s">
        <v>114</v>
      </c>
      <c r="B49" s="64" t="s">
        <v>115</v>
      </c>
      <c r="C49" s="63" t="s">
        <v>116</v>
      </c>
      <c r="D49" s="65" t="s">
        <v>117</v>
      </c>
      <c r="E49" s="65">
        <v>16192.0</v>
      </c>
      <c r="F49" s="66">
        <v>1924.0</v>
      </c>
      <c r="G49" s="66">
        <v>1931.0</v>
      </c>
      <c r="H49" s="67"/>
      <c r="I49" s="72"/>
      <c r="J49" s="68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>
      <c r="A50" s="63" t="s">
        <v>118</v>
      </c>
      <c r="B50" s="64" t="s">
        <v>119</v>
      </c>
      <c r="C50" s="63" t="s">
        <v>120</v>
      </c>
      <c r="D50" s="65" t="s">
        <v>121</v>
      </c>
      <c r="E50" s="65">
        <v>8331.0</v>
      </c>
      <c r="F50" s="70">
        <v>1910.0</v>
      </c>
      <c r="G50" s="70">
        <v>1922.0</v>
      </c>
      <c r="H50" s="63" t="s">
        <v>628</v>
      </c>
      <c r="I50" s="63"/>
      <c r="J50" s="63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>
      <c r="A51" s="77" t="s">
        <v>122</v>
      </c>
      <c r="B51" s="78" t="s">
        <v>123</v>
      </c>
      <c r="C51" s="77" t="s">
        <v>124</v>
      </c>
      <c r="D51" s="79" t="s">
        <v>125</v>
      </c>
      <c r="E51" s="79">
        <v>14787.0</v>
      </c>
      <c r="F51" s="80">
        <v>1910.0</v>
      </c>
      <c r="G51" s="80">
        <v>1931.0</v>
      </c>
      <c r="H51" s="77" t="s">
        <v>629</v>
      </c>
      <c r="I51" s="77"/>
      <c r="J51" s="77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</row>
    <row r="52">
      <c r="A52" s="77" t="s">
        <v>126</v>
      </c>
      <c r="B52" s="78" t="s">
        <v>127</v>
      </c>
      <c r="C52" s="77" t="s">
        <v>128</v>
      </c>
      <c r="D52" s="79" t="s">
        <v>129</v>
      </c>
      <c r="E52" s="79">
        <v>8597.0</v>
      </c>
      <c r="F52" s="82">
        <v>1899.0</v>
      </c>
      <c r="G52" s="80">
        <v>1923.0</v>
      </c>
      <c r="H52" s="77" t="s">
        <v>630</v>
      </c>
      <c r="I52" s="83"/>
      <c r="J52" s="83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</row>
    <row r="53">
      <c r="A53" s="77" t="s">
        <v>631</v>
      </c>
      <c r="B53" s="78" t="s">
        <v>632</v>
      </c>
      <c r="C53" s="77" t="s">
        <v>633</v>
      </c>
      <c r="D53" s="79" t="s">
        <v>634</v>
      </c>
      <c r="E53" s="79">
        <v>13072.0</v>
      </c>
      <c r="F53" s="84" t="s">
        <v>513</v>
      </c>
      <c r="G53" s="84" t="s">
        <v>513</v>
      </c>
      <c r="H53" s="85"/>
      <c r="I53" s="83"/>
      <c r="J53" s="83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</row>
    <row r="54">
      <c r="A54" s="77" t="s">
        <v>635</v>
      </c>
      <c r="B54" s="78" t="s">
        <v>636</v>
      </c>
      <c r="C54" s="77" t="s">
        <v>637</v>
      </c>
      <c r="D54" s="79" t="s">
        <v>638</v>
      </c>
      <c r="E54" s="79">
        <v>12170.0</v>
      </c>
      <c r="F54" s="86"/>
      <c r="G54" s="86"/>
      <c r="H54" s="85"/>
      <c r="I54" s="87"/>
      <c r="J54" s="87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</row>
    <row r="55">
      <c r="A55" s="77" t="s">
        <v>639</v>
      </c>
      <c r="B55" s="78" t="s">
        <v>640</v>
      </c>
      <c r="C55" s="77" t="s">
        <v>641</v>
      </c>
      <c r="D55" s="79" t="s">
        <v>642</v>
      </c>
      <c r="E55" s="79">
        <v>4410.0</v>
      </c>
      <c r="F55" s="86"/>
      <c r="G55" s="86"/>
      <c r="H55" s="85"/>
      <c r="I55" s="83"/>
      <c r="J55" s="83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</row>
    <row r="56">
      <c r="A56" s="77" t="s">
        <v>643</v>
      </c>
      <c r="B56" s="78" t="s">
        <v>644</v>
      </c>
      <c r="C56" s="77" t="s">
        <v>645</v>
      </c>
      <c r="D56" s="79" t="s">
        <v>646</v>
      </c>
      <c r="E56" s="79">
        <v>23434.0</v>
      </c>
      <c r="F56" s="86"/>
      <c r="G56" s="86"/>
      <c r="H56" s="85"/>
      <c r="I56" s="83"/>
      <c r="J56" s="83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</row>
    <row r="57">
      <c r="A57" s="77" t="s">
        <v>130</v>
      </c>
      <c r="B57" s="78" t="s">
        <v>131</v>
      </c>
      <c r="C57" s="77" t="s">
        <v>132</v>
      </c>
      <c r="D57" s="79" t="s">
        <v>133</v>
      </c>
      <c r="E57" s="79">
        <v>18965.0</v>
      </c>
      <c r="F57" s="80"/>
      <c r="G57" s="80"/>
      <c r="H57" s="77" t="s">
        <v>647</v>
      </c>
      <c r="I57" s="83"/>
      <c r="J57" s="83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</row>
    <row r="58">
      <c r="A58" s="77" t="s">
        <v>134</v>
      </c>
      <c r="B58" s="78" t="s">
        <v>135</v>
      </c>
      <c r="C58" s="77" t="s">
        <v>136</v>
      </c>
      <c r="D58" s="79" t="s">
        <v>137</v>
      </c>
      <c r="E58" s="79">
        <v>16796.0</v>
      </c>
      <c r="F58" s="80"/>
      <c r="G58" s="80"/>
      <c r="H58" s="77" t="s">
        <v>648</v>
      </c>
      <c r="I58" s="77"/>
      <c r="J58" s="77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>
      <c r="A59" s="77" t="s">
        <v>138</v>
      </c>
      <c r="B59" s="78" t="s">
        <v>139</v>
      </c>
      <c r="C59" s="77" t="s">
        <v>140</v>
      </c>
      <c r="D59" s="79" t="s">
        <v>141</v>
      </c>
      <c r="E59" s="79">
        <v>16780.0</v>
      </c>
      <c r="F59" s="80"/>
      <c r="G59" s="80"/>
      <c r="H59" s="77" t="s">
        <v>649</v>
      </c>
      <c r="I59" s="83"/>
      <c r="J59" s="83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>
      <c r="A60" s="77" t="s">
        <v>650</v>
      </c>
      <c r="B60" s="78" t="s">
        <v>651</v>
      </c>
      <c r="C60" s="77" t="s">
        <v>652</v>
      </c>
      <c r="D60" s="79" t="s">
        <v>653</v>
      </c>
      <c r="E60" s="79">
        <v>3732.0</v>
      </c>
      <c r="F60" s="86"/>
      <c r="G60" s="86"/>
      <c r="H60" s="85"/>
      <c r="I60" s="77"/>
      <c r="J60" s="77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>
      <c r="A61" s="77" t="s">
        <v>146</v>
      </c>
      <c r="B61" s="78" t="s">
        <v>147</v>
      </c>
      <c r="C61" s="77" t="s">
        <v>148</v>
      </c>
      <c r="D61" s="79" t="s">
        <v>149</v>
      </c>
      <c r="E61" s="79">
        <v>22544.0</v>
      </c>
      <c r="F61" s="84"/>
      <c r="G61" s="84"/>
      <c r="H61" s="87" t="s">
        <v>654</v>
      </c>
      <c r="I61" s="77"/>
      <c r="J61" s="77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>
      <c r="A62" s="77" t="s">
        <v>655</v>
      </c>
      <c r="B62" s="78" t="s">
        <v>656</v>
      </c>
      <c r="C62" s="77" t="s">
        <v>657</v>
      </c>
      <c r="D62" s="79" t="s">
        <v>658</v>
      </c>
      <c r="E62" s="79">
        <v>5224.0</v>
      </c>
      <c r="F62" s="86"/>
      <c r="G62" s="86"/>
      <c r="H62" s="85"/>
      <c r="I62" s="83"/>
      <c r="J62" s="83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>
      <c r="A63" s="77" t="s">
        <v>153</v>
      </c>
      <c r="B63" s="78" t="s">
        <v>154</v>
      </c>
      <c r="C63" s="77" t="s">
        <v>155</v>
      </c>
      <c r="D63" s="79" t="s">
        <v>156</v>
      </c>
      <c r="E63" s="79">
        <v>19947.0</v>
      </c>
      <c r="F63" s="80"/>
      <c r="G63" s="80"/>
      <c r="H63" s="77" t="s">
        <v>659</v>
      </c>
      <c r="I63" s="77"/>
      <c r="J63" s="77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>
      <c r="A64" s="77" t="s">
        <v>660</v>
      </c>
      <c r="B64" s="78" t="s">
        <v>661</v>
      </c>
      <c r="C64" s="77" t="s">
        <v>662</v>
      </c>
      <c r="D64" s="79" t="s">
        <v>663</v>
      </c>
      <c r="E64" s="79">
        <v>22012.0</v>
      </c>
      <c r="F64" s="86"/>
      <c r="G64" s="86"/>
      <c r="H64" s="85"/>
      <c r="I64" s="77"/>
      <c r="J64" s="77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>
      <c r="A65" s="77" t="s">
        <v>157</v>
      </c>
      <c r="B65" s="78" t="s">
        <v>158</v>
      </c>
      <c r="C65" s="77" t="s">
        <v>159</v>
      </c>
      <c r="D65" s="79" t="s">
        <v>160</v>
      </c>
      <c r="E65" s="79">
        <v>11165.0</v>
      </c>
      <c r="F65" s="88"/>
      <c r="G65" s="88"/>
      <c r="H65" s="89" t="str">
        <f>= Biografi ==
 Forssner blev [[medicine kandidat]] 1898 och [[medicine doktor]] 1906 vid [[Karolinska institutet]], och blev där 1907 [[docent]] och 1917 professor i [[obstetrik]] och [[gynekologi]] och samtidigt överläkare vid [[Serafimerlasarettet]]s gynekologiska avdelning och direktör för [[Allmänna barnbördshuset]].</f>
        <v>#ERROR!</v>
      </c>
      <c r="I65" s="77"/>
      <c r="J65" s="77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>
      <c r="A66" s="77" t="s">
        <v>161</v>
      </c>
      <c r="B66" s="78" t="s">
        <v>162</v>
      </c>
      <c r="C66" s="77" t="s">
        <v>163</v>
      </c>
      <c r="D66" s="79" t="s">
        <v>164</v>
      </c>
      <c r="E66" s="79">
        <v>19973.0</v>
      </c>
      <c r="F66" s="80"/>
      <c r="G66" s="80"/>
      <c r="H66" s="77" t="s">
        <v>664</v>
      </c>
      <c r="I66" s="77"/>
      <c r="J66" s="77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>
      <c r="A67" s="77" t="s">
        <v>165</v>
      </c>
      <c r="B67" s="78" t="s">
        <v>166</v>
      </c>
      <c r="C67" s="77" t="s">
        <v>167</v>
      </c>
      <c r="D67" s="79" t="s">
        <v>168</v>
      </c>
      <c r="E67" s="79">
        <v>18580.0</v>
      </c>
      <c r="F67" s="80"/>
      <c r="G67" s="80"/>
      <c r="H67" s="77" t="s">
        <v>665</v>
      </c>
      <c r="I67" s="83"/>
      <c r="J67" s="83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>
      <c r="A68" s="77" t="s">
        <v>169</v>
      </c>
      <c r="B68" s="78" t="s">
        <v>170</v>
      </c>
      <c r="C68" s="77" t="s">
        <v>171</v>
      </c>
      <c r="D68" s="79" t="s">
        <v>172</v>
      </c>
      <c r="E68" s="79">
        <v>13884.0</v>
      </c>
      <c r="F68" s="80"/>
      <c r="G68" s="80"/>
      <c r="H68" s="77" t="s">
        <v>666</v>
      </c>
      <c r="I68" s="83"/>
      <c r="J68" s="83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>
      <c r="A69" s="77" t="s">
        <v>173</v>
      </c>
      <c r="B69" s="78" t="s">
        <v>174</v>
      </c>
      <c r="C69" s="77" t="s">
        <v>175</v>
      </c>
      <c r="D69" s="79" t="s">
        <v>176</v>
      </c>
      <c r="E69" s="79">
        <v>26321.0</v>
      </c>
      <c r="F69" s="80"/>
      <c r="G69" s="80"/>
      <c r="H69" s="77" t="s">
        <v>667</v>
      </c>
      <c r="I69" s="83"/>
      <c r="J69" s="83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>
      <c r="A70" s="77" t="s">
        <v>177</v>
      </c>
      <c r="B70" s="78" t="s">
        <v>178</v>
      </c>
      <c r="C70" s="77" t="s">
        <v>179</v>
      </c>
      <c r="D70" s="79" t="s">
        <v>180</v>
      </c>
      <c r="E70" s="79">
        <v>18101.0</v>
      </c>
      <c r="F70" s="86"/>
      <c r="G70" s="86"/>
      <c r="H70" s="85"/>
      <c r="I70" s="77"/>
      <c r="J70" s="77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>
      <c r="A71" s="77" t="s">
        <v>181</v>
      </c>
      <c r="B71" s="78" t="s">
        <v>182</v>
      </c>
      <c r="C71" s="77" t="s">
        <v>183</v>
      </c>
      <c r="D71" s="79" t="s">
        <v>184</v>
      </c>
      <c r="E71" s="79">
        <v>13312.0</v>
      </c>
      <c r="F71" s="80"/>
      <c r="G71" s="80"/>
      <c r="H71" s="77" t="s">
        <v>668</v>
      </c>
      <c r="I71" s="87"/>
      <c r="J71" s="87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>
      <c r="A72" s="77" t="s">
        <v>185</v>
      </c>
      <c r="B72" s="78" t="s">
        <v>186</v>
      </c>
      <c r="C72" s="77" t="s">
        <v>187</v>
      </c>
      <c r="D72" s="79" t="s">
        <v>188</v>
      </c>
      <c r="E72" s="79">
        <v>13817.0</v>
      </c>
      <c r="F72" s="80"/>
      <c r="G72" s="80"/>
      <c r="H72" s="77" t="s">
        <v>669</v>
      </c>
      <c r="I72" s="77"/>
      <c r="J72" s="77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>
      <c r="A73" s="77" t="s">
        <v>670</v>
      </c>
      <c r="B73" s="78" t="s">
        <v>671</v>
      </c>
      <c r="C73" s="77" t="s">
        <v>672</v>
      </c>
      <c r="D73" s="79" t="s">
        <v>673</v>
      </c>
      <c r="E73" s="79">
        <v>25442.0</v>
      </c>
      <c r="F73" s="80"/>
      <c r="G73" s="80"/>
      <c r="H73" s="77" t="s">
        <v>674</v>
      </c>
      <c r="I73" s="83"/>
      <c r="J73" s="83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>
      <c r="A74" s="77" t="s">
        <v>193</v>
      </c>
      <c r="B74" s="78" t="s">
        <v>194</v>
      </c>
      <c r="C74" s="77" t="s">
        <v>195</v>
      </c>
      <c r="D74" s="79" t="s">
        <v>196</v>
      </c>
      <c r="E74" s="79">
        <v>28481.0</v>
      </c>
      <c r="F74" s="80"/>
      <c r="G74" s="80"/>
      <c r="H74" s="77" t="s">
        <v>675</v>
      </c>
      <c r="I74" s="77"/>
      <c r="J74" s="77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>
      <c r="A75" s="77" t="s">
        <v>676</v>
      </c>
      <c r="B75" s="78" t="s">
        <v>677</v>
      </c>
      <c r="C75" s="77" t="s">
        <v>678</v>
      </c>
      <c r="D75" s="79" t="s">
        <v>679</v>
      </c>
      <c r="E75" s="79">
        <v>19767.0</v>
      </c>
      <c r="F75" s="80"/>
      <c r="G75" s="80"/>
      <c r="H75" s="77" t="s">
        <v>680</v>
      </c>
      <c r="I75" s="77"/>
      <c r="J75" s="77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>
      <c r="A76" s="77" t="s">
        <v>681</v>
      </c>
      <c r="B76" s="78" t="s">
        <v>682</v>
      </c>
      <c r="C76" s="77" t="s">
        <v>683</v>
      </c>
      <c r="D76" s="79" t="s">
        <v>684</v>
      </c>
      <c r="E76" s="79">
        <v>20654.0</v>
      </c>
      <c r="F76" s="84"/>
      <c r="G76" s="84"/>
      <c r="H76" s="87" t="s">
        <v>685</v>
      </c>
      <c r="I76" s="77"/>
      <c r="J76" s="77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>
      <c r="A77" s="77" t="s">
        <v>197</v>
      </c>
      <c r="B77" s="78" t="s">
        <v>198</v>
      </c>
      <c r="C77" s="77" t="s">
        <v>199</v>
      </c>
      <c r="D77" s="79" t="s">
        <v>200</v>
      </c>
      <c r="E77" s="79">
        <v>15372.0</v>
      </c>
      <c r="F77" s="80"/>
      <c r="G77" s="80"/>
      <c r="H77" s="77" t="s">
        <v>686</v>
      </c>
      <c r="I77" s="83"/>
      <c r="J77" s="83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>
      <c r="A78" s="77" t="s">
        <v>201</v>
      </c>
      <c r="B78" s="78" t="s">
        <v>202</v>
      </c>
      <c r="C78" s="77" t="s">
        <v>203</v>
      </c>
      <c r="D78" s="79" t="s">
        <v>204</v>
      </c>
      <c r="E78" s="79">
        <v>23813.0</v>
      </c>
      <c r="F78" s="80"/>
      <c r="G78" s="80"/>
      <c r="H78" s="77" t="s">
        <v>687</v>
      </c>
      <c r="I78" s="77"/>
      <c r="J78" s="77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>
      <c r="A79" s="77" t="s">
        <v>205</v>
      </c>
      <c r="B79" s="78" t="s">
        <v>206</v>
      </c>
      <c r="C79" s="77" t="s">
        <v>207</v>
      </c>
      <c r="D79" s="79" t="s">
        <v>208</v>
      </c>
      <c r="E79" s="79">
        <v>17846.0</v>
      </c>
      <c r="F79" s="80"/>
      <c r="G79" s="80"/>
      <c r="H79" s="77" t="s">
        <v>688</v>
      </c>
      <c r="I79" s="77"/>
      <c r="J79" s="77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>
      <c r="A80" s="77" t="s">
        <v>209</v>
      </c>
      <c r="B80" s="78" t="s">
        <v>210</v>
      </c>
      <c r="C80" s="77" t="s">
        <v>211</v>
      </c>
      <c r="D80" s="79" t="s">
        <v>212</v>
      </c>
      <c r="E80" s="79">
        <v>24571.0</v>
      </c>
      <c r="F80" s="80"/>
      <c r="G80" s="80"/>
      <c r="H80" s="77" t="s">
        <v>689</v>
      </c>
      <c r="I80" s="83"/>
      <c r="J80" s="83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>
      <c r="A81" s="77" t="s">
        <v>225</v>
      </c>
      <c r="B81" s="78" t="s">
        <v>226</v>
      </c>
      <c r="C81" s="77" t="s">
        <v>227</v>
      </c>
      <c r="D81" s="79" t="s">
        <v>228</v>
      </c>
      <c r="E81" s="79">
        <v>24853.0</v>
      </c>
      <c r="F81" s="80"/>
      <c r="G81" s="80"/>
      <c r="H81" s="77" t="s">
        <v>690</v>
      </c>
      <c r="I81" s="77"/>
      <c r="J81" s="77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>
      <c r="A82" s="77" t="s">
        <v>233</v>
      </c>
      <c r="B82" s="78" t="s">
        <v>234</v>
      </c>
      <c r="C82" s="77" t="s">
        <v>235</v>
      </c>
      <c r="D82" s="79" t="s">
        <v>236</v>
      </c>
      <c r="E82" s="79">
        <v>24943.0</v>
      </c>
      <c r="F82" s="86"/>
      <c r="G82" s="86"/>
      <c r="H82" s="85"/>
      <c r="I82" s="77"/>
      <c r="J82" s="77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>
      <c r="A83" s="77" t="s">
        <v>241</v>
      </c>
      <c r="B83" s="78" t="s">
        <v>242</v>
      </c>
      <c r="C83" s="77" t="s">
        <v>243</v>
      </c>
      <c r="D83" s="79" t="s">
        <v>244</v>
      </c>
      <c r="E83" s="79">
        <v>20035.0</v>
      </c>
      <c r="F83" s="80"/>
      <c r="G83" s="80"/>
      <c r="H83" s="77" t="s">
        <v>691</v>
      </c>
      <c r="I83" s="77"/>
      <c r="J83" s="77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>
      <c r="A84" s="77" t="s">
        <v>245</v>
      </c>
      <c r="B84" s="78" t="s">
        <v>246</v>
      </c>
      <c r="C84" s="77" t="s">
        <v>247</v>
      </c>
      <c r="D84" s="79" t="s">
        <v>248</v>
      </c>
      <c r="E84" s="79">
        <v>24884.0</v>
      </c>
      <c r="F84" s="80"/>
      <c r="G84" s="80"/>
      <c r="H84" s="77" t="s">
        <v>692</v>
      </c>
      <c r="I84" s="77"/>
      <c r="J84" s="77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>
      <c r="A85" s="77" t="s">
        <v>249</v>
      </c>
      <c r="B85" s="78" t="s">
        <v>250</v>
      </c>
      <c r="C85" s="77" t="s">
        <v>251</v>
      </c>
      <c r="D85" s="79" t="s">
        <v>252</v>
      </c>
      <c r="E85" s="79">
        <v>26897.0</v>
      </c>
      <c r="F85" s="80"/>
      <c r="G85" s="80"/>
      <c r="H85" s="77" t="s">
        <v>693</v>
      </c>
      <c r="I85" s="83"/>
      <c r="J85" s="83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>
      <c r="A86" s="77" t="s">
        <v>253</v>
      </c>
      <c r="B86" s="78" t="s">
        <v>254</v>
      </c>
      <c r="C86" s="77" t="s">
        <v>255</v>
      </c>
      <c r="D86" s="79" t="s">
        <v>256</v>
      </c>
      <c r="E86" s="79">
        <v>24047.0</v>
      </c>
      <c r="F86" s="80"/>
      <c r="G86" s="80"/>
      <c r="H86" s="77" t="s">
        <v>694</v>
      </c>
      <c r="I86" s="83"/>
      <c r="J86" s="83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>
      <c r="A87" s="77" t="s">
        <v>257</v>
      </c>
      <c r="B87" s="78" t="s">
        <v>258</v>
      </c>
      <c r="C87" s="77" t="s">
        <v>259</v>
      </c>
      <c r="D87" s="79" t="s">
        <v>260</v>
      </c>
      <c r="E87" s="79">
        <v>31505.0</v>
      </c>
      <c r="F87" s="86"/>
      <c r="G87" s="86"/>
      <c r="H87" s="85"/>
      <c r="I87" s="77"/>
      <c r="J87" s="77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>
      <c r="A88" s="77" t="s">
        <v>261</v>
      </c>
      <c r="B88" s="78" t="s">
        <v>262</v>
      </c>
      <c r="C88" s="77" t="s">
        <v>263</v>
      </c>
      <c r="D88" s="79" t="s">
        <v>264</v>
      </c>
      <c r="E88" s="79">
        <v>27440.0</v>
      </c>
      <c r="F88" s="80"/>
      <c r="G88" s="80"/>
      <c r="H88" s="77" t="s">
        <v>695</v>
      </c>
      <c r="I88" s="87"/>
      <c r="J88" s="87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>
      <c r="A89" s="77" t="s">
        <v>265</v>
      </c>
      <c r="B89" s="78" t="s">
        <v>266</v>
      </c>
      <c r="C89" s="77" t="s">
        <v>267</v>
      </c>
      <c r="D89" s="79" t="s">
        <v>268</v>
      </c>
      <c r="E89" s="79">
        <v>29235.0</v>
      </c>
      <c r="F89" s="88"/>
      <c r="G89" s="88"/>
      <c r="H89" s="89" t="str">
        <f>= Biografi ==
 Olivecrona var en internationellt känd [[Hjärnkirurgi|hjärnkirurg]] och var [[professor]] i [[neurokirurgi]] vid [[Karolinska institutet]] åren 1935-1960.</f>
        <v>#ERROR!</v>
      </c>
      <c r="I89" s="77"/>
      <c r="J89" s="77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>
      <c r="A90" s="77" t="s">
        <v>269</v>
      </c>
      <c r="B90" s="78" t="s">
        <v>270</v>
      </c>
      <c r="C90" s="77" t="s">
        <v>271</v>
      </c>
      <c r="D90" s="79" t="s">
        <v>272</v>
      </c>
      <c r="E90" s="79">
        <v>26299.0</v>
      </c>
      <c r="F90" s="80"/>
      <c r="G90" s="80"/>
      <c r="H90" s="77" t="s">
        <v>696</v>
      </c>
      <c r="I90" s="77"/>
      <c r="J90" s="77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>
      <c r="A91" s="77" t="s">
        <v>273</v>
      </c>
      <c r="B91" s="78" t="s">
        <v>274</v>
      </c>
      <c r="C91" s="77" t="s">
        <v>275</v>
      </c>
      <c r="D91" s="79" t="s">
        <v>276</v>
      </c>
      <c r="E91" s="79">
        <v>17436.0</v>
      </c>
      <c r="F91" s="80"/>
      <c r="G91" s="80"/>
      <c r="H91" s="77" t="s">
        <v>697</v>
      </c>
      <c r="I91" s="83"/>
      <c r="J91" s="83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>
      <c r="A92" s="77" t="s">
        <v>277</v>
      </c>
      <c r="B92" s="78" t="s">
        <v>278</v>
      </c>
      <c r="C92" s="77" t="s">
        <v>279</v>
      </c>
      <c r="D92" s="79" t="s">
        <v>280</v>
      </c>
      <c r="E92" s="79">
        <v>28341.0</v>
      </c>
      <c r="F92" s="80"/>
      <c r="G92" s="80"/>
      <c r="H92" s="77" t="s">
        <v>698</v>
      </c>
      <c r="I92" s="77"/>
      <c r="J92" s="77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>
      <c r="A93" s="77" t="s">
        <v>281</v>
      </c>
      <c r="B93" s="78" t="s">
        <v>282</v>
      </c>
      <c r="C93" s="77" t="s">
        <v>283</v>
      </c>
      <c r="D93" s="79" t="s">
        <v>284</v>
      </c>
      <c r="E93" s="79">
        <v>16949.0</v>
      </c>
      <c r="F93" s="80"/>
      <c r="G93" s="80"/>
      <c r="H93" s="77" t="s">
        <v>699</v>
      </c>
      <c r="I93" s="83"/>
      <c r="J93" s="83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>
      <c r="A94" s="77" t="s">
        <v>700</v>
      </c>
      <c r="B94" s="78" t="s">
        <v>701</v>
      </c>
      <c r="C94" s="77" t="s">
        <v>702</v>
      </c>
      <c r="D94" s="79" t="s">
        <v>703</v>
      </c>
      <c r="E94" s="79">
        <v>23603.0</v>
      </c>
      <c r="F94" s="80"/>
      <c r="G94" s="80"/>
      <c r="H94" s="77" t="s">
        <v>704</v>
      </c>
      <c r="I94" s="83"/>
      <c r="J94" s="83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>
      <c r="A95" s="77" t="s">
        <v>705</v>
      </c>
      <c r="B95" s="78" t="s">
        <v>706</v>
      </c>
      <c r="C95" s="77" t="s">
        <v>707</v>
      </c>
      <c r="D95" s="79" t="s">
        <v>708</v>
      </c>
      <c r="E95" s="79">
        <v>26891.0</v>
      </c>
      <c r="F95" s="86"/>
      <c r="G95" s="86"/>
      <c r="H95" s="85"/>
      <c r="I95" s="77"/>
      <c r="J95" s="77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>
      <c r="A96" s="77" t="s">
        <v>709</v>
      </c>
      <c r="B96" s="78" t="s">
        <v>710</v>
      </c>
      <c r="C96" s="77" t="s">
        <v>711</v>
      </c>
      <c r="D96" s="79" t="s">
        <v>712</v>
      </c>
      <c r="E96" s="79">
        <v>26576.0</v>
      </c>
      <c r="F96" s="80"/>
      <c r="G96" s="80"/>
      <c r="H96" s="77" t="s">
        <v>713</v>
      </c>
      <c r="I96" s="90"/>
      <c r="J96" s="90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>
      <c r="A97" s="77" t="s">
        <v>288</v>
      </c>
      <c r="B97" s="78" t="s">
        <v>289</v>
      </c>
      <c r="C97" s="77" t="s">
        <v>290</v>
      </c>
      <c r="D97" s="79" t="s">
        <v>291</v>
      </c>
      <c r="E97" s="79">
        <v>26855.0</v>
      </c>
      <c r="F97" s="80"/>
      <c r="G97" s="80"/>
      <c r="H97" s="77" t="s">
        <v>714</v>
      </c>
      <c r="I97" s="77"/>
      <c r="J97" s="77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>
      <c r="A98" s="77" t="s">
        <v>292</v>
      </c>
      <c r="B98" s="78" t="s">
        <v>293</v>
      </c>
      <c r="C98" s="77" t="s">
        <v>294</v>
      </c>
      <c r="D98" s="79" t="s">
        <v>295</v>
      </c>
      <c r="E98" s="79">
        <v>29316.0</v>
      </c>
      <c r="F98" s="80"/>
      <c r="G98" s="80"/>
      <c r="H98" s="77" t="s">
        <v>715</v>
      </c>
      <c r="I98" s="90"/>
      <c r="J98" s="90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>
      <c r="A99" s="77" t="s">
        <v>296</v>
      </c>
      <c r="B99" s="78" t="s">
        <v>297</v>
      </c>
      <c r="C99" s="77" t="s">
        <v>298</v>
      </c>
      <c r="D99" s="79" t="s">
        <v>299</v>
      </c>
      <c r="E99" s="79">
        <v>22065.0</v>
      </c>
      <c r="F99" s="80">
        <v>1942.0</v>
      </c>
      <c r="G99" s="80">
        <v>1960.0</v>
      </c>
      <c r="H99" s="77" t="s">
        <v>716</v>
      </c>
      <c r="I99" s="77"/>
      <c r="J99" s="77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>
      <c r="A100" s="91" t="s">
        <v>717</v>
      </c>
      <c r="B100" s="92" t="s">
        <v>718</v>
      </c>
      <c r="C100" s="91" t="s">
        <v>719</v>
      </c>
      <c r="D100" s="93" t="s">
        <v>720</v>
      </c>
      <c r="E100" s="93">
        <v>16501.0</v>
      </c>
      <c r="F100" s="94" t="s">
        <v>513</v>
      </c>
      <c r="G100" s="94" t="s">
        <v>513</v>
      </c>
      <c r="H100" s="95"/>
      <c r="I100" s="91"/>
      <c r="J100" s="91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</row>
    <row r="101">
      <c r="A101" s="91" t="s">
        <v>721</v>
      </c>
      <c r="B101" s="92" t="s">
        <v>722</v>
      </c>
      <c r="C101" s="91" t="s">
        <v>723</v>
      </c>
      <c r="D101" s="93" t="s">
        <v>724</v>
      </c>
      <c r="E101" s="93">
        <v>25204.0</v>
      </c>
      <c r="F101" s="94" t="s">
        <v>513</v>
      </c>
      <c r="G101" s="94" t="s">
        <v>513</v>
      </c>
      <c r="H101" s="95"/>
      <c r="I101" s="97"/>
      <c r="J101" s="97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</row>
    <row r="102">
      <c r="A102" s="91" t="s">
        <v>303</v>
      </c>
      <c r="B102" s="92" t="s">
        <v>304</v>
      </c>
      <c r="C102" s="91" t="s">
        <v>305</v>
      </c>
      <c r="D102" s="93" t="s">
        <v>306</v>
      </c>
      <c r="E102" s="93">
        <v>27030.0</v>
      </c>
      <c r="F102" s="98">
        <v>1945.0</v>
      </c>
      <c r="G102" s="98">
        <v>1961.0</v>
      </c>
      <c r="H102" s="91" t="s">
        <v>725</v>
      </c>
      <c r="I102" s="91"/>
      <c r="J102" s="91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</row>
    <row r="103">
      <c r="A103" s="91" t="s">
        <v>307</v>
      </c>
      <c r="B103" s="92" t="s">
        <v>308</v>
      </c>
      <c r="C103" s="91" t="s">
        <v>309</v>
      </c>
      <c r="D103" s="93" t="s">
        <v>310</v>
      </c>
      <c r="E103" s="93">
        <v>24444.0</v>
      </c>
      <c r="F103" s="98">
        <v>1941.0</v>
      </c>
      <c r="G103" s="98">
        <v>1965.0</v>
      </c>
      <c r="H103" s="91" t="s">
        <v>726</v>
      </c>
      <c r="I103" s="97" t="s">
        <v>727</v>
      </c>
      <c r="J103" s="99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</row>
    <row r="104">
      <c r="A104" s="91" t="s">
        <v>728</v>
      </c>
      <c r="B104" s="92" t="s">
        <v>729</v>
      </c>
      <c r="C104" s="91" t="s">
        <v>730</v>
      </c>
      <c r="D104" s="93" t="s">
        <v>731</v>
      </c>
      <c r="E104" s="93">
        <v>31634.0</v>
      </c>
      <c r="F104" s="98" t="s">
        <v>513</v>
      </c>
      <c r="G104" s="98" t="s">
        <v>513</v>
      </c>
      <c r="H104" s="100" t="str">
        <f>= Lever ==
 Ljunggren blev [[medicine licentiat]] i [[Stockholm]] 1922, [[medicine doktor]] 1930, [[docent]] i [[kirurgi]] vid [[Karolinska institutet]] 1932–1937, [[underläkare]] vid [[Ersta sjukhus]] 1923–1927, [[Maria sjukhus, Stockholm|Maria sjukhus]] 1928–1933, tillförordnad [[överläkare]] vid kirurgiska avdelningen vid [[Sundsvalls lasarett]] 1933–1936, överläkare vid [[Sollefteå lasarett]] 1936–1945, vid kirurgiska kliniken I vid [[Sahlgrenska sjukhuset]] 1945–1962 och [[professor]] i kirurgi vid [[Göteborgs universitet]] (Carlanderska sjukhemmet) 1952–1962.</f>
        <v>#ERROR!</v>
      </c>
      <c r="I104" s="91"/>
      <c r="J104" s="91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</row>
    <row r="105">
      <c r="A105" s="91" t="s">
        <v>732</v>
      </c>
      <c r="B105" s="92" t="s">
        <v>733</v>
      </c>
      <c r="C105" s="91" t="s">
        <v>734</v>
      </c>
      <c r="D105" s="93" t="s">
        <v>735</v>
      </c>
      <c r="E105" s="93">
        <v>17023.0</v>
      </c>
      <c r="F105" s="94" t="s">
        <v>513</v>
      </c>
      <c r="G105" s="94" t="s">
        <v>513</v>
      </c>
      <c r="H105" s="95"/>
      <c r="I105" s="99"/>
      <c r="J105" s="99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</row>
    <row r="106">
      <c r="A106" s="91" t="s">
        <v>736</v>
      </c>
      <c r="B106" s="92" t="s">
        <v>737</v>
      </c>
      <c r="C106" s="91" t="s">
        <v>738</v>
      </c>
      <c r="D106" s="93" t="s">
        <v>739</v>
      </c>
      <c r="E106" s="93">
        <v>30023.0</v>
      </c>
      <c r="F106" s="98">
        <v>1945.0</v>
      </c>
      <c r="G106" s="98">
        <v>1965.0</v>
      </c>
      <c r="H106" s="91" t="s">
        <v>740</v>
      </c>
      <c r="I106" s="91"/>
      <c r="J106" s="91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</row>
    <row r="107">
      <c r="A107" s="91" t="s">
        <v>315</v>
      </c>
      <c r="B107" s="92" t="s">
        <v>316</v>
      </c>
      <c r="C107" s="91" t="s">
        <v>317</v>
      </c>
      <c r="D107" s="93" t="s">
        <v>318</v>
      </c>
      <c r="E107" s="93">
        <v>30737.0</v>
      </c>
      <c r="F107" s="98">
        <v>1948.0</v>
      </c>
      <c r="G107" s="98">
        <v>1966.0</v>
      </c>
      <c r="H107" s="91" t="s">
        <v>741</v>
      </c>
      <c r="I107" s="99"/>
      <c r="J107" s="99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</row>
    <row r="108">
      <c r="A108" s="91" t="s">
        <v>742</v>
      </c>
      <c r="B108" s="92" t="s">
        <v>743</v>
      </c>
      <c r="C108" s="91" t="s">
        <v>744</v>
      </c>
      <c r="D108" s="93">
        <v>143.0</v>
      </c>
      <c r="E108" s="93">
        <v>24572.0</v>
      </c>
      <c r="F108" s="98">
        <v>1965.0</v>
      </c>
      <c r="G108" s="98">
        <v>1967.0</v>
      </c>
      <c r="H108" s="91" t="s">
        <v>745</v>
      </c>
      <c r="I108" s="91"/>
      <c r="J108" s="91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>
      <c r="A109" s="91" t="s">
        <v>746</v>
      </c>
      <c r="B109" s="92" t="s">
        <v>747</v>
      </c>
      <c r="C109" s="91" t="s">
        <v>748</v>
      </c>
      <c r="D109" s="93">
        <v>144.0</v>
      </c>
      <c r="E109" s="93">
        <v>26809.0</v>
      </c>
      <c r="F109" s="94" t="s">
        <v>513</v>
      </c>
      <c r="G109" s="94" t="s">
        <v>513</v>
      </c>
      <c r="H109" s="95"/>
      <c r="I109" s="91"/>
      <c r="J109" s="91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</row>
    <row r="110">
      <c r="A110" s="91" t="s">
        <v>319</v>
      </c>
      <c r="B110" s="92" t="s">
        <v>320</v>
      </c>
      <c r="C110" s="91" t="s">
        <v>321</v>
      </c>
      <c r="D110" s="93">
        <v>304.0</v>
      </c>
      <c r="E110" s="93">
        <v>33309.0</v>
      </c>
      <c r="F110" s="98">
        <v>1946.0</v>
      </c>
      <c r="G110" s="98">
        <v>1967.0</v>
      </c>
      <c r="H110" s="91" t="s">
        <v>749</v>
      </c>
      <c r="I110" s="99"/>
      <c r="J110" s="99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</row>
    <row r="111">
      <c r="A111" s="91" t="s">
        <v>750</v>
      </c>
      <c r="B111" s="92" t="s">
        <v>751</v>
      </c>
      <c r="C111" s="91" t="s">
        <v>752</v>
      </c>
      <c r="D111" s="93">
        <v>448.0</v>
      </c>
      <c r="E111" s="93">
        <v>30044.0</v>
      </c>
      <c r="F111" s="94" t="s">
        <v>513</v>
      </c>
      <c r="G111" s="94" t="s">
        <v>513</v>
      </c>
      <c r="H111" s="95"/>
      <c r="I111" s="91"/>
      <c r="J111" s="91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</row>
    <row r="112">
      <c r="A112" s="91" t="s">
        <v>322</v>
      </c>
      <c r="B112" s="92" t="s">
        <v>323</v>
      </c>
      <c r="C112" s="91" t="s">
        <v>324</v>
      </c>
      <c r="D112" s="93">
        <v>515.0</v>
      </c>
      <c r="E112" s="93">
        <v>20473.0</v>
      </c>
      <c r="F112" s="98">
        <v>1944.0</v>
      </c>
      <c r="G112" s="98">
        <v>1949.0</v>
      </c>
      <c r="H112" s="91" t="s">
        <v>753</v>
      </c>
      <c r="I112" s="91"/>
      <c r="J112" s="91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</row>
    <row r="113">
      <c r="A113" s="91" t="s">
        <v>754</v>
      </c>
      <c r="B113" s="92" t="s">
        <v>755</v>
      </c>
      <c r="C113" s="91" t="s">
        <v>756</v>
      </c>
      <c r="D113" s="93">
        <v>613.0</v>
      </c>
      <c r="E113" s="93">
        <v>30518.0</v>
      </c>
      <c r="F113" s="94" t="s">
        <v>513</v>
      </c>
      <c r="G113" s="94" t="s">
        <v>513</v>
      </c>
      <c r="H113" s="95"/>
      <c r="I113" s="91"/>
      <c r="J113" s="91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</row>
    <row r="114">
      <c r="A114" s="91" t="s">
        <v>757</v>
      </c>
      <c r="B114" s="92" t="s">
        <v>758</v>
      </c>
      <c r="C114" s="91" t="s">
        <v>759</v>
      </c>
      <c r="D114" s="93">
        <v>709.0</v>
      </c>
      <c r="E114" s="93">
        <v>20062.0</v>
      </c>
      <c r="F114" s="94" t="s">
        <v>513</v>
      </c>
      <c r="G114" s="94" t="s">
        <v>513</v>
      </c>
      <c r="H114" s="95"/>
      <c r="I114" s="99"/>
      <c r="J114" s="99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</row>
    <row r="115">
      <c r="A115" s="91" t="s">
        <v>331</v>
      </c>
      <c r="B115" s="92" t="s">
        <v>332</v>
      </c>
      <c r="C115" s="91" t="s">
        <v>333</v>
      </c>
      <c r="D115" s="93">
        <v>806.0</v>
      </c>
      <c r="E115" s="93">
        <v>27813.0</v>
      </c>
      <c r="F115" s="98">
        <v>1940.0</v>
      </c>
      <c r="G115" s="98">
        <v>1968.0</v>
      </c>
      <c r="H115" s="91" t="s">
        <v>760</v>
      </c>
      <c r="I115" s="91"/>
      <c r="J115" s="91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</row>
    <row r="116">
      <c r="A116" s="91" t="s">
        <v>761</v>
      </c>
      <c r="B116" s="92" t="s">
        <v>762</v>
      </c>
      <c r="C116" s="91" t="s">
        <v>763</v>
      </c>
      <c r="D116" s="93">
        <v>938.0</v>
      </c>
      <c r="E116" s="93">
        <v>21299.0</v>
      </c>
      <c r="F116" s="98" t="s">
        <v>513</v>
      </c>
      <c r="G116" s="98" t="s">
        <v>513</v>
      </c>
      <c r="H116" s="91" t="s">
        <v>764</v>
      </c>
      <c r="I116" s="91"/>
      <c r="J116" s="91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</row>
    <row r="117">
      <c r="A117" s="91" t="s">
        <v>765</v>
      </c>
      <c r="B117" s="92" t="s">
        <v>766</v>
      </c>
      <c r="C117" s="91" t="s">
        <v>767</v>
      </c>
      <c r="D117" s="93">
        <v>973.0</v>
      </c>
      <c r="E117" s="93">
        <v>31204.0</v>
      </c>
      <c r="F117" s="94" t="s">
        <v>513</v>
      </c>
      <c r="G117" s="94" t="s">
        <v>513</v>
      </c>
      <c r="H117" s="95"/>
      <c r="I117" s="99"/>
      <c r="J117" s="99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</row>
    <row r="118">
      <c r="A118" s="91" t="s">
        <v>334</v>
      </c>
      <c r="B118" s="92" t="s">
        <v>335</v>
      </c>
      <c r="C118" s="91" t="s">
        <v>336</v>
      </c>
      <c r="D118" s="93">
        <v>979.0</v>
      </c>
      <c r="E118" s="93">
        <v>28248.0</v>
      </c>
      <c r="F118" s="98">
        <v>1943.0</v>
      </c>
      <c r="G118" s="98">
        <v>1953.0</v>
      </c>
      <c r="H118" s="91" t="s">
        <v>768</v>
      </c>
      <c r="I118" s="91"/>
      <c r="J118" s="91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>
      <c r="A119" s="91" t="s">
        <v>337</v>
      </c>
      <c r="B119" s="92" t="s">
        <v>338</v>
      </c>
      <c r="C119" s="91" t="s">
        <v>339</v>
      </c>
      <c r="D119" s="93">
        <v>1283.0</v>
      </c>
      <c r="E119" s="93">
        <v>30178.0</v>
      </c>
      <c r="F119" s="98">
        <v>1937.0</v>
      </c>
      <c r="G119" s="98">
        <v>1970.0</v>
      </c>
      <c r="H119" s="91" t="s">
        <v>769</v>
      </c>
      <c r="I119" s="91" t="s">
        <v>770</v>
      </c>
      <c r="J119" s="91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>
      <c r="A120" s="91" t="s">
        <v>771</v>
      </c>
      <c r="B120" s="92" t="s">
        <v>772</v>
      </c>
      <c r="C120" s="91" t="s">
        <v>773</v>
      </c>
      <c r="D120" s="93">
        <v>1415.0</v>
      </c>
      <c r="E120" s="93">
        <v>30041.0</v>
      </c>
      <c r="F120" s="94">
        <v>1963.0</v>
      </c>
      <c r="G120" s="94">
        <v>1970.0</v>
      </c>
      <c r="H120" s="95"/>
      <c r="I120" s="91" t="s">
        <v>774</v>
      </c>
      <c r="J120" s="91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</row>
    <row r="121">
      <c r="A121" s="91" t="s">
        <v>340</v>
      </c>
      <c r="B121" s="92" t="s">
        <v>341</v>
      </c>
      <c r="C121" s="91" t="s">
        <v>342</v>
      </c>
      <c r="D121" s="93">
        <v>1416.0</v>
      </c>
      <c r="E121" s="93">
        <v>28901.0</v>
      </c>
      <c r="F121" s="98">
        <v>1948.0</v>
      </c>
      <c r="G121" s="98">
        <v>1970.0</v>
      </c>
      <c r="H121" s="91" t="s">
        <v>775</v>
      </c>
      <c r="I121" s="91"/>
      <c r="J121" s="91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</row>
    <row r="122">
      <c r="A122" s="91" t="s">
        <v>776</v>
      </c>
      <c r="B122" s="92" t="s">
        <v>777</v>
      </c>
      <c r="C122" s="91" t="s">
        <v>778</v>
      </c>
      <c r="D122" s="93">
        <v>1462.0</v>
      </c>
      <c r="E122" s="93">
        <v>23743.0</v>
      </c>
      <c r="F122" s="94" t="s">
        <v>513</v>
      </c>
      <c r="G122" s="94" t="s">
        <v>513</v>
      </c>
      <c r="H122" s="95"/>
      <c r="I122" s="91"/>
      <c r="J122" s="91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</row>
    <row r="123">
      <c r="A123" s="91" t="s">
        <v>343</v>
      </c>
      <c r="B123" s="92" t="s">
        <v>344</v>
      </c>
      <c r="C123" s="91" t="s">
        <v>345</v>
      </c>
      <c r="D123" s="93">
        <v>1611.0</v>
      </c>
      <c r="E123" s="93">
        <v>26782.0</v>
      </c>
      <c r="F123" s="98">
        <v>1958.0</v>
      </c>
      <c r="G123" s="98">
        <v>1970.0</v>
      </c>
      <c r="H123" s="100" t="str">
        <f>=Biografi==
 Efter studenten läste Jack Adams-Ray medicin och blev [[medicine licentiat]] 1932, [[medicine doktor]] och [[docent]] i [[kirurgi]] vid [[Karolinska institutet]] 1945, biträdande överläkare vid kirurgiska kliniken på [[Serafimerlasarettet]] 1947, [[professor]] i kirurgi vid Karolinska institutet från 1957, överläkare vid Serafimerlasarettet 1957–1958, [[Karolinska sjukhuset]] från 1958, lärare i allmän kirurgi vid [[Tandläkarhögskolan i Stockholm]] från 1947.</f>
        <v>#ERROR!</v>
      </c>
      <c r="I123" s="91"/>
      <c r="J123" s="91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</row>
    <row r="124">
      <c r="A124" s="91" t="s">
        <v>348</v>
      </c>
      <c r="B124" s="92" t="s">
        <v>349</v>
      </c>
      <c r="C124" s="91" t="s">
        <v>350</v>
      </c>
      <c r="D124" s="93">
        <v>1865.0</v>
      </c>
      <c r="E124" s="93">
        <v>30384.0</v>
      </c>
      <c r="F124" s="98">
        <v>1939.0</v>
      </c>
      <c r="G124" s="98">
        <v>1971.0</v>
      </c>
      <c r="H124" s="91" t="s">
        <v>779</v>
      </c>
      <c r="I124" s="91"/>
      <c r="J124" s="91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</row>
    <row r="125">
      <c r="A125" s="91" t="s">
        <v>355</v>
      </c>
      <c r="B125" s="92" t="s">
        <v>356</v>
      </c>
      <c r="C125" s="91" t="s">
        <v>357</v>
      </c>
      <c r="D125" s="93">
        <v>2078.0</v>
      </c>
      <c r="E125" s="93">
        <v>23286.0</v>
      </c>
      <c r="F125" s="94" t="s">
        <v>513</v>
      </c>
      <c r="G125" s="94" t="s">
        <v>513</v>
      </c>
      <c r="H125" s="95"/>
      <c r="I125" s="91"/>
      <c r="J125" s="91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</row>
    <row r="126">
      <c r="A126" s="91" t="s">
        <v>358</v>
      </c>
      <c r="B126" s="92" t="s">
        <v>359</v>
      </c>
      <c r="C126" s="91" t="s">
        <v>360</v>
      </c>
      <c r="D126" s="93">
        <v>2134.0</v>
      </c>
      <c r="E126" s="93">
        <v>36034.0</v>
      </c>
      <c r="F126" s="98">
        <v>1947.0</v>
      </c>
      <c r="G126" s="98">
        <v>1972.0</v>
      </c>
      <c r="H126" s="100" t="str">
        <f>=Biografi==
 Sven Gard blev 1947 professor i [[bakteriologi]] vid [[Karolinska institutet]] och var 1948–1972 professor i [[virus]]forskning vid samma lärosäte.</f>
        <v>#ERROR!</v>
      </c>
      <c r="I126" s="99"/>
      <c r="J126" s="99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</row>
    <row r="127">
      <c r="A127" s="91" t="s">
        <v>361</v>
      </c>
      <c r="B127" s="92" t="s">
        <v>362</v>
      </c>
      <c r="C127" s="91" t="s">
        <v>363</v>
      </c>
      <c r="D127" s="93">
        <v>2354.0</v>
      </c>
      <c r="E127" s="93">
        <v>33604.0</v>
      </c>
      <c r="F127" s="98">
        <v>1958.0</v>
      </c>
      <c r="G127" s="98">
        <v>1972.0</v>
      </c>
      <c r="H127" s="91" t="s">
        <v>780</v>
      </c>
      <c r="I127" s="91"/>
      <c r="J127" s="91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</row>
    <row r="128">
      <c r="A128" s="91" t="s">
        <v>364</v>
      </c>
      <c r="B128" s="92" t="s">
        <v>365</v>
      </c>
      <c r="C128" s="91" t="s">
        <v>366</v>
      </c>
      <c r="D128" s="93">
        <v>2467.0</v>
      </c>
      <c r="E128" s="93">
        <v>37514.0</v>
      </c>
      <c r="F128" s="98">
        <v>1967.0</v>
      </c>
      <c r="G128" s="98">
        <v>1973.0</v>
      </c>
      <c r="H128" s="91" t="s">
        <v>781</v>
      </c>
      <c r="I128" s="91"/>
      <c r="J128" s="91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</row>
    <row r="129">
      <c r="A129" s="91" t="s">
        <v>367</v>
      </c>
      <c r="B129" s="92" t="s">
        <v>368</v>
      </c>
      <c r="C129" s="91" t="s">
        <v>369</v>
      </c>
      <c r="D129" s="93">
        <v>2470.0</v>
      </c>
      <c r="E129" s="93">
        <v>28452.0</v>
      </c>
      <c r="F129" s="98">
        <v>1948.0</v>
      </c>
      <c r="G129" s="98">
        <v>1972.0</v>
      </c>
      <c r="H129" s="91" t="s">
        <v>782</v>
      </c>
      <c r="I129" s="91"/>
      <c r="J129" s="91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</row>
    <row r="130">
      <c r="A130" s="91" t="s">
        <v>783</v>
      </c>
      <c r="B130" s="92" t="s">
        <v>784</v>
      </c>
      <c r="C130" s="91" t="s">
        <v>785</v>
      </c>
      <c r="D130" s="93">
        <v>2635.0</v>
      </c>
      <c r="E130" s="93">
        <v>36122.0</v>
      </c>
      <c r="F130" s="98" t="s">
        <v>513</v>
      </c>
      <c r="G130" s="98" t="s">
        <v>513</v>
      </c>
      <c r="H130" s="91" t="s">
        <v>786</v>
      </c>
      <c r="I130" s="99"/>
      <c r="J130" s="99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</row>
    <row r="131">
      <c r="A131" s="91" t="s">
        <v>373</v>
      </c>
      <c r="B131" s="92" t="s">
        <v>374</v>
      </c>
      <c r="C131" s="91" t="s">
        <v>375</v>
      </c>
      <c r="D131" s="93">
        <v>2680.0</v>
      </c>
      <c r="E131" s="93">
        <v>33970.0</v>
      </c>
      <c r="F131" s="98">
        <v>1960.0</v>
      </c>
      <c r="G131" s="98">
        <v>1973.0</v>
      </c>
      <c r="H131" s="91" t="s">
        <v>787</v>
      </c>
      <c r="I131" s="91"/>
      <c r="J131" s="91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</row>
    <row r="132">
      <c r="A132" s="91" t="s">
        <v>379</v>
      </c>
      <c r="B132" s="92" t="s">
        <v>380</v>
      </c>
      <c r="C132" s="91" t="s">
        <v>381</v>
      </c>
      <c r="D132" s="93">
        <v>2782.0</v>
      </c>
      <c r="E132" s="93">
        <v>40354.0</v>
      </c>
      <c r="F132" s="98">
        <v>1964.0</v>
      </c>
      <c r="G132" s="98">
        <v>1974.0</v>
      </c>
      <c r="H132" s="91" t="s">
        <v>788</v>
      </c>
      <c r="I132" s="91"/>
      <c r="J132" s="91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</row>
    <row r="133">
      <c r="A133" s="91" t="s">
        <v>789</v>
      </c>
      <c r="B133" s="92" t="s">
        <v>790</v>
      </c>
      <c r="C133" s="91" t="s">
        <v>791</v>
      </c>
      <c r="D133" s="93">
        <v>2823.0</v>
      </c>
      <c r="E133" s="93">
        <v>28199.0</v>
      </c>
      <c r="F133" s="98" t="s">
        <v>513</v>
      </c>
      <c r="G133" s="98" t="s">
        <v>513</v>
      </c>
      <c r="H133" s="91" t="s">
        <v>792</v>
      </c>
      <c r="I133" s="91"/>
      <c r="J133" s="91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</row>
    <row r="134">
      <c r="A134" s="91" t="s">
        <v>793</v>
      </c>
      <c r="B134" s="92" t="s">
        <v>794</v>
      </c>
      <c r="C134" s="91" t="s">
        <v>795</v>
      </c>
      <c r="D134" s="93">
        <v>2824.0</v>
      </c>
      <c r="E134" s="93">
        <v>37425.0</v>
      </c>
      <c r="F134" s="94" t="s">
        <v>513</v>
      </c>
      <c r="G134" s="94" t="s">
        <v>513</v>
      </c>
      <c r="H134" s="95"/>
      <c r="I134" s="99"/>
      <c r="J134" s="99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</row>
    <row r="135">
      <c r="A135" s="91" t="s">
        <v>796</v>
      </c>
      <c r="B135" s="92" t="s">
        <v>797</v>
      </c>
      <c r="C135" s="91" t="s">
        <v>798</v>
      </c>
      <c r="D135" s="93">
        <v>2871.0</v>
      </c>
      <c r="E135" s="93">
        <v>32158.0</v>
      </c>
      <c r="F135" s="94" t="s">
        <v>513</v>
      </c>
      <c r="G135" s="94" t="s">
        <v>513</v>
      </c>
      <c r="H135" s="95"/>
      <c r="I135" s="101"/>
      <c r="J135" s="101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</row>
    <row r="136">
      <c r="A136" s="91" t="s">
        <v>382</v>
      </c>
      <c r="B136" s="92" t="s">
        <v>383</v>
      </c>
      <c r="C136" s="91" t="s">
        <v>384</v>
      </c>
      <c r="D136" s="93">
        <v>2884.0</v>
      </c>
      <c r="E136" s="93">
        <v>31424.0</v>
      </c>
      <c r="F136" s="98">
        <v>1960.0</v>
      </c>
      <c r="G136" s="98">
        <v>1974.0</v>
      </c>
      <c r="H136" s="91" t="s">
        <v>799</v>
      </c>
      <c r="I136" s="91"/>
      <c r="J136" s="91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</row>
    <row r="137">
      <c r="A137" s="91" t="s">
        <v>385</v>
      </c>
      <c r="B137" s="92" t="s">
        <v>386</v>
      </c>
      <c r="C137" s="91" t="s">
        <v>387</v>
      </c>
      <c r="D137" s="93">
        <v>2906.0</v>
      </c>
      <c r="E137" s="93">
        <v>36487.0</v>
      </c>
      <c r="F137" s="94">
        <v>1956.0</v>
      </c>
      <c r="G137" s="94">
        <v>1974.0</v>
      </c>
      <c r="H137" s="95"/>
      <c r="I137" s="91"/>
      <c r="J137" s="91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</row>
    <row r="138">
      <c r="A138" s="91" t="s">
        <v>388</v>
      </c>
      <c r="B138" s="92" t="s">
        <v>389</v>
      </c>
      <c r="C138" s="91" t="s">
        <v>390</v>
      </c>
      <c r="D138" s="93">
        <v>3037.0</v>
      </c>
      <c r="E138" s="93">
        <v>33118.0</v>
      </c>
      <c r="F138" s="98">
        <v>1949.0</v>
      </c>
      <c r="G138" s="98">
        <v>1974.0</v>
      </c>
      <c r="H138" s="91" t="s">
        <v>800</v>
      </c>
      <c r="I138" s="91"/>
      <c r="J138" s="91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</row>
    <row r="139">
      <c r="A139" s="91" t="s">
        <v>801</v>
      </c>
      <c r="B139" s="92" t="s">
        <v>802</v>
      </c>
      <c r="C139" s="91" t="s">
        <v>803</v>
      </c>
      <c r="D139" s="93">
        <v>3150.0</v>
      </c>
      <c r="E139" s="93">
        <v>37760.0</v>
      </c>
      <c r="F139" s="94" t="s">
        <v>513</v>
      </c>
      <c r="G139" s="94" t="s">
        <v>513</v>
      </c>
      <c r="H139" s="95"/>
      <c r="I139" s="91"/>
      <c r="J139" s="91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</row>
    <row r="140">
      <c r="A140" s="91" t="s">
        <v>391</v>
      </c>
      <c r="B140" s="92" t="s">
        <v>392</v>
      </c>
      <c r="C140" s="91" t="s">
        <v>393</v>
      </c>
      <c r="D140" s="93">
        <v>3164.0</v>
      </c>
      <c r="E140" s="93">
        <v>32215.0</v>
      </c>
      <c r="F140" s="98">
        <v>1960.0</v>
      </c>
      <c r="G140" s="98">
        <v>1975.0</v>
      </c>
      <c r="H140" s="91" t="s">
        <v>804</v>
      </c>
      <c r="I140" s="99"/>
      <c r="J140" s="99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</row>
    <row r="141">
      <c r="A141" s="91" t="s">
        <v>805</v>
      </c>
      <c r="B141" s="92" t="s">
        <v>806</v>
      </c>
      <c r="C141" s="91" t="s">
        <v>807</v>
      </c>
      <c r="D141" s="93">
        <v>3437.0</v>
      </c>
      <c r="E141" s="93">
        <v>25204.0</v>
      </c>
      <c r="F141" s="94" t="s">
        <v>513</v>
      </c>
      <c r="G141" s="94" t="s">
        <v>513</v>
      </c>
      <c r="H141" s="95"/>
      <c r="I141" s="99"/>
      <c r="J141" s="99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</row>
    <row r="142">
      <c r="A142" s="91" t="s">
        <v>394</v>
      </c>
      <c r="B142" s="92" t="s">
        <v>395</v>
      </c>
      <c r="C142" s="91" t="s">
        <v>396</v>
      </c>
      <c r="D142" s="93">
        <v>3551.0</v>
      </c>
      <c r="E142" s="93">
        <v>30324.0</v>
      </c>
      <c r="F142" s="98">
        <v>1957.0</v>
      </c>
      <c r="G142" s="98">
        <v>1976.0</v>
      </c>
      <c r="H142" s="91" t="s">
        <v>808</v>
      </c>
      <c r="I142" s="102" t="s">
        <v>809</v>
      </c>
      <c r="J142" s="99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</row>
    <row r="143">
      <c r="A143" s="91" t="s">
        <v>810</v>
      </c>
      <c r="B143" s="92" t="s">
        <v>811</v>
      </c>
      <c r="C143" s="91" t="s">
        <v>812</v>
      </c>
      <c r="D143" s="93">
        <v>3657.0</v>
      </c>
      <c r="E143" s="93">
        <v>39124.0</v>
      </c>
      <c r="F143" s="98" t="s">
        <v>513</v>
      </c>
      <c r="G143" s="98" t="s">
        <v>513</v>
      </c>
      <c r="H143" s="100" t="str">
        <f>=Biografi==
 Gemzell blev [[medicine licentiat]] i [[Stockholm]] 1940, [[medicine doktor]] 1948, [[docent]] i experimentell [[endokrinologi]] vid [[Karolinska institutet]] 1953, i [[obstetrik]] och [[gynekologi]] där 1956, [[professor]] i obstetrik och gynekologi i [[Uppsala]] 1960–76 och vid Downstate Medical Center State University i [[New York]] från 1974.</f>
        <v>#ERROR!</v>
      </c>
      <c r="I143" s="91"/>
      <c r="J143" s="91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</row>
    <row r="144">
      <c r="A144" s="91" t="s">
        <v>813</v>
      </c>
      <c r="B144" s="92" t="s">
        <v>814</v>
      </c>
      <c r="C144" s="91" t="s">
        <v>815</v>
      </c>
      <c r="D144" s="93">
        <v>3692.0</v>
      </c>
      <c r="E144" s="93">
        <v>31596.0</v>
      </c>
      <c r="F144" s="94" t="s">
        <v>513</v>
      </c>
      <c r="G144" s="94" t="s">
        <v>513</v>
      </c>
      <c r="H144" s="95"/>
      <c r="I144" s="91"/>
      <c r="J144" s="91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</row>
    <row r="145">
      <c r="A145" s="91" t="s">
        <v>816</v>
      </c>
      <c r="B145" s="92" t="s">
        <v>817</v>
      </c>
      <c r="C145" s="91" t="s">
        <v>818</v>
      </c>
      <c r="D145" s="93">
        <v>3701.0</v>
      </c>
      <c r="E145" s="93">
        <v>37995.0</v>
      </c>
      <c r="F145" s="94" t="s">
        <v>513</v>
      </c>
      <c r="G145" s="94" t="s">
        <v>513</v>
      </c>
      <c r="H145" s="95"/>
      <c r="I145" s="99"/>
      <c r="J145" s="99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</row>
    <row r="146">
      <c r="A146" s="91" t="s">
        <v>400</v>
      </c>
      <c r="B146" s="92" t="s">
        <v>401</v>
      </c>
      <c r="C146" s="91" t="s">
        <v>402</v>
      </c>
      <c r="D146" s="93">
        <v>3731.0</v>
      </c>
      <c r="E146" s="93">
        <v>28302.0</v>
      </c>
      <c r="F146" s="94">
        <v>1961.0</v>
      </c>
      <c r="G146" s="94">
        <v>1975.0</v>
      </c>
      <c r="H146" s="97" t="s">
        <v>819</v>
      </c>
      <c r="I146" s="99"/>
      <c r="J146" s="99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</row>
    <row r="147">
      <c r="A147" s="91" t="s">
        <v>403</v>
      </c>
      <c r="B147" s="92" t="s">
        <v>404</v>
      </c>
      <c r="C147" s="91" t="s">
        <v>405</v>
      </c>
      <c r="D147" s="93">
        <v>3771.0</v>
      </c>
      <c r="E147" s="93">
        <v>36904.0</v>
      </c>
      <c r="F147" s="98">
        <v>1948.0</v>
      </c>
      <c r="G147" s="98">
        <v>1972.0</v>
      </c>
      <c r="H147" s="91" t="s">
        <v>820</v>
      </c>
      <c r="I147" s="91"/>
      <c r="J147" s="91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</row>
    <row r="148">
      <c r="A148" s="91" t="s">
        <v>821</v>
      </c>
      <c r="B148" s="92" t="s">
        <v>822</v>
      </c>
      <c r="C148" s="91" t="s">
        <v>823</v>
      </c>
      <c r="D148" s="93">
        <v>3925.0</v>
      </c>
      <c r="E148" s="93">
        <v>37439.0</v>
      </c>
      <c r="F148" s="94" t="s">
        <v>513</v>
      </c>
      <c r="G148" s="94" t="s">
        <v>513</v>
      </c>
      <c r="H148" s="95"/>
      <c r="I148" s="91"/>
      <c r="J148" s="91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</row>
    <row r="149">
      <c r="A149" s="103" t="s">
        <v>406</v>
      </c>
      <c r="B149" s="104" t="s">
        <v>407</v>
      </c>
      <c r="C149" s="103" t="s">
        <v>408</v>
      </c>
      <c r="D149" s="105">
        <v>3941.0</v>
      </c>
      <c r="E149" s="105">
        <v>35771.0</v>
      </c>
      <c r="F149" s="106">
        <v>1944.0</v>
      </c>
      <c r="G149" s="106">
        <v>1977.0</v>
      </c>
      <c r="H149" s="103" t="s">
        <v>824</v>
      </c>
      <c r="I149" s="107"/>
      <c r="J149" s="107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</row>
    <row r="150">
      <c r="A150" s="103" t="s">
        <v>825</v>
      </c>
      <c r="B150" s="104" t="s">
        <v>826</v>
      </c>
      <c r="C150" s="103" t="s">
        <v>827</v>
      </c>
      <c r="D150" s="105">
        <v>3998.0</v>
      </c>
      <c r="E150" s="105">
        <v>30302.0</v>
      </c>
      <c r="F150" s="106">
        <v>1957.0</v>
      </c>
      <c r="G150" s="106">
        <v>1970.0</v>
      </c>
      <c r="H150" s="103" t="s">
        <v>828</v>
      </c>
      <c r="I150" s="103"/>
      <c r="J150" s="103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</row>
    <row r="151">
      <c r="A151" s="103" t="s">
        <v>409</v>
      </c>
      <c r="B151" s="104" t="s">
        <v>410</v>
      </c>
      <c r="C151" s="103" t="s">
        <v>411</v>
      </c>
      <c r="D151" s="105">
        <v>4009.0</v>
      </c>
      <c r="E151" s="105">
        <v>40098.0</v>
      </c>
      <c r="F151" s="106">
        <v>1958.0</v>
      </c>
      <c r="G151" s="106">
        <v>1977.0</v>
      </c>
      <c r="H151" s="103" t="s">
        <v>829</v>
      </c>
      <c r="I151" s="107"/>
      <c r="J151" s="107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</row>
    <row r="152">
      <c r="A152" s="103" t="s">
        <v>830</v>
      </c>
      <c r="B152" s="104" t="s">
        <v>831</v>
      </c>
      <c r="C152" s="103" t="s">
        <v>832</v>
      </c>
      <c r="D152" s="105">
        <v>4397.0</v>
      </c>
      <c r="E152" s="105">
        <v>32887.0</v>
      </c>
      <c r="F152" s="106">
        <v>1964.0</v>
      </c>
      <c r="G152" s="106">
        <v>1977.0</v>
      </c>
      <c r="H152" s="103" t="s">
        <v>833</v>
      </c>
      <c r="I152" s="103"/>
      <c r="J152" s="103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</row>
    <row r="153">
      <c r="A153" s="103" t="s">
        <v>834</v>
      </c>
      <c r="B153" s="104" t="s">
        <v>835</v>
      </c>
      <c r="C153" s="103" t="s">
        <v>836</v>
      </c>
      <c r="D153" s="105">
        <v>4686.0</v>
      </c>
      <c r="E153" s="105">
        <v>27760.0</v>
      </c>
      <c r="F153" s="109" t="s">
        <v>513</v>
      </c>
      <c r="G153" s="109" t="s">
        <v>513</v>
      </c>
      <c r="H153" s="110"/>
      <c r="I153" s="103"/>
      <c r="J153" s="103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</row>
    <row r="154">
      <c r="A154" s="103" t="s">
        <v>414</v>
      </c>
      <c r="B154" s="104" t="s">
        <v>415</v>
      </c>
      <c r="C154" s="103" t="s">
        <v>416</v>
      </c>
      <c r="D154" s="105">
        <v>4872.0</v>
      </c>
      <c r="E154" s="105">
        <v>30481.0</v>
      </c>
      <c r="F154" s="106">
        <v>1954.0</v>
      </c>
      <c r="G154" s="106">
        <v>1968.0</v>
      </c>
      <c r="H154" s="103" t="s">
        <v>837</v>
      </c>
      <c r="I154" s="103"/>
      <c r="J154" s="103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</row>
    <row r="155">
      <c r="A155" s="103" t="s">
        <v>417</v>
      </c>
      <c r="B155" s="104" t="s">
        <v>418</v>
      </c>
      <c r="C155" s="103" t="s">
        <v>419</v>
      </c>
      <c r="D155" s="105">
        <v>4884.0</v>
      </c>
      <c r="E155" s="105">
        <v>38732.0</v>
      </c>
      <c r="F155" s="106">
        <v>1955.0</v>
      </c>
      <c r="G155" s="106">
        <v>1979.0</v>
      </c>
      <c r="H155" s="103" t="s">
        <v>838</v>
      </c>
      <c r="I155" s="103"/>
      <c r="J155" s="103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</row>
    <row r="156">
      <c r="A156" s="103" t="s">
        <v>839</v>
      </c>
      <c r="B156" s="104" t="s">
        <v>840</v>
      </c>
      <c r="C156" s="103" t="s">
        <v>841</v>
      </c>
      <c r="D156" s="105">
        <v>4899.0</v>
      </c>
      <c r="E156" s="105">
        <v>35485.0</v>
      </c>
      <c r="F156" s="106">
        <v>1961.0</v>
      </c>
      <c r="G156" s="106">
        <v>1979.0</v>
      </c>
      <c r="H156" s="103" t="s">
        <v>842</v>
      </c>
      <c r="I156" s="103"/>
      <c r="J156" s="103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</row>
    <row r="157">
      <c r="A157" s="103" t="s">
        <v>420</v>
      </c>
      <c r="B157" s="104" t="s">
        <v>421</v>
      </c>
      <c r="C157" s="103" t="s">
        <v>422</v>
      </c>
      <c r="D157" s="105">
        <v>4920.0</v>
      </c>
      <c r="E157" s="105">
        <v>37930.0</v>
      </c>
      <c r="F157" s="106">
        <v>1952.0</v>
      </c>
      <c r="G157" s="106">
        <v>1979.0</v>
      </c>
      <c r="H157" s="103" t="s">
        <v>843</v>
      </c>
      <c r="I157" s="111"/>
      <c r="J157" s="111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</row>
    <row r="158">
      <c r="A158" s="103" t="s">
        <v>426</v>
      </c>
      <c r="B158" s="104" t="s">
        <v>427</v>
      </c>
      <c r="C158" s="103" t="s">
        <v>428</v>
      </c>
      <c r="D158" s="105">
        <v>4989.0</v>
      </c>
      <c r="E158" s="105">
        <v>30600.0</v>
      </c>
      <c r="F158" s="106">
        <v>1962.0</v>
      </c>
      <c r="G158" s="106">
        <v>1979.0</v>
      </c>
      <c r="H158" s="103" t="s">
        <v>844</v>
      </c>
      <c r="I158" s="103"/>
      <c r="J158" s="103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</row>
    <row r="159">
      <c r="A159" s="103" t="s">
        <v>429</v>
      </c>
      <c r="B159" s="104" t="s">
        <v>430</v>
      </c>
      <c r="C159" s="103" t="s">
        <v>431</v>
      </c>
      <c r="D159" s="105">
        <v>5294.0</v>
      </c>
      <c r="E159" s="105">
        <v>39224.0</v>
      </c>
      <c r="F159" s="106">
        <v>1958.0</v>
      </c>
      <c r="G159" s="106">
        <v>1980.0</v>
      </c>
      <c r="H159" s="103" t="s">
        <v>845</v>
      </c>
      <c r="I159" s="103"/>
      <c r="J159" s="103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</row>
    <row r="160">
      <c r="A160" s="103" t="s">
        <v>846</v>
      </c>
      <c r="B160" s="104" t="s">
        <v>847</v>
      </c>
      <c r="C160" s="103" t="s">
        <v>848</v>
      </c>
      <c r="D160" s="105">
        <v>5501.0</v>
      </c>
      <c r="E160" s="105">
        <v>27618.0</v>
      </c>
      <c r="F160" s="109" t="s">
        <v>513</v>
      </c>
      <c r="G160" s="109" t="s">
        <v>513</v>
      </c>
      <c r="H160" s="110"/>
      <c r="I160" s="103"/>
      <c r="J160" s="103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</row>
    <row r="161">
      <c r="A161" s="103" t="s">
        <v>432</v>
      </c>
      <c r="B161" s="104" t="s">
        <v>433</v>
      </c>
      <c r="C161" s="103" t="s">
        <v>434</v>
      </c>
      <c r="D161" s="105">
        <v>5564.0</v>
      </c>
      <c r="E161" s="105">
        <v>34659.0</v>
      </c>
      <c r="F161" s="106">
        <v>1967.0</v>
      </c>
      <c r="G161" s="106">
        <v>1981.0</v>
      </c>
      <c r="H161" s="103" t="s">
        <v>849</v>
      </c>
      <c r="I161" s="107"/>
      <c r="J161" s="107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</row>
    <row r="162">
      <c r="A162" s="103" t="s">
        <v>850</v>
      </c>
      <c r="B162" s="104" t="s">
        <v>851</v>
      </c>
      <c r="C162" s="103" t="s">
        <v>852</v>
      </c>
      <c r="D162" s="105">
        <v>5629.0</v>
      </c>
      <c r="E162" s="105">
        <v>39294.0</v>
      </c>
      <c r="F162" s="106">
        <v>1975.0</v>
      </c>
      <c r="G162" s="106">
        <v>1980.0</v>
      </c>
      <c r="H162" s="103" t="s">
        <v>853</v>
      </c>
      <c r="I162" s="103"/>
      <c r="J162" s="103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</row>
    <row r="163">
      <c r="A163" s="103" t="s">
        <v>435</v>
      </c>
      <c r="B163" s="104" t="s">
        <v>436</v>
      </c>
      <c r="C163" s="103" t="s">
        <v>437</v>
      </c>
      <c r="D163" s="105">
        <v>5679.0</v>
      </c>
      <c r="E163" s="105">
        <v>39620.0</v>
      </c>
      <c r="F163" s="106">
        <v>1968.0</v>
      </c>
      <c r="G163" s="106">
        <v>1980.0</v>
      </c>
      <c r="H163" s="103" t="s">
        <v>854</v>
      </c>
      <c r="I163" s="103"/>
      <c r="J163" s="103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</row>
    <row r="164">
      <c r="A164" s="103" t="s">
        <v>855</v>
      </c>
      <c r="B164" s="104" t="s">
        <v>856</v>
      </c>
      <c r="C164" s="103" t="s">
        <v>857</v>
      </c>
      <c r="D164" s="105">
        <v>5787.0</v>
      </c>
      <c r="E164" s="105">
        <v>37257.0</v>
      </c>
      <c r="F164" s="109" t="s">
        <v>513</v>
      </c>
      <c r="G164" s="109" t="s">
        <v>513</v>
      </c>
      <c r="H164" s="110"/>
      <c r="I164" s="103"/>
      <c r="J164" s="103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</row>
    <row r="165">
      <c r="A165" s="103" t="s">
        <v>438</v>
      </c>
      <c r="B165" s="104" t="s">
        <v>439</v>
      </c>
      <c r="C165" s="103" t="s">
        <v>440</v>
      </c>
      <c r="D165" s="105">
        <v>5845.0</v>
      </c>
      <c r="E165" s="105">
        <v>39083.0</v>
      </c>
      <c r="F165" s="109" t="s">
        <v>513</v>
      </c>
      <c r="G165" s="109" t="s">
        <v>513</v>
      </c>
      <c r="H165" s="110"/>
      <c r="I165" s="103"/>
      <c r="J165" s="103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</row>
    <row r="166">
      <c r="A166" s="103" t="s">
        <v>441</v>
      </c>
      <c r="B166" s="104" t="s">
        <v>442</v>
      </c>
      <c r="C166" s="103" t="s">
        <v>443</v>
      </c>
      <c r="D166" s="105">
        <v>5854.0</v>
      </c>
      <c r="E166" s="105">
        <v>38214.0</v>
      </c>
      <c r="F166" s="106">
        <v>1958.0</v>
      </c>
      <c r="G166" s="106">
        <v>1980.0</v>
      </c>
      <c r="H166" s="103" t="s">
        <v>858</v>
      </c>
      <c r="I166" s="112"/>
      <c r="J166" s="112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</row>
    <row r="167">
      <c r="A167" s="103" t="s">
        <v>859</v>
      </c>
      <c r="B167" s="104" t="s">
        <v>860</v>
      </c>
      <c r="C167" s="103" t="s">
        <v>861</v>
      </c>
      <c r="D167" s="105">
        <v>5926.0</v>
      </c>
      <c r="E167" s="105">
        <v>40084.0</v>
      </c>
      <c r="F167" s="109" t="s">
        <v>513</v>
      </c>
      <c r="G167" s="109" t="s">
        <v>513</v>
      </c>
      <c r="H167" s="110"/>
      <c r="I167" s="107"/>
      <c r="J167" s="107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</row>
    <row r="168">
      <c r="A168" s="103" t="s">
        <v>862</v>
      </c>
      <c r="B168" s="104" t="s">
        <v>863</v>
      </c>
      <c r="C168" s="103" t="s">
        <v>864</v>
      </c>
      <c r="D168" s="105">
        <v>5956.0</v>
      </c>
      <c r="E168" s="105">
        <v>35905.0</v>
      </c>
      <c r="F168" s="109" t="s">
        <v>513</v>
      </c>
      <c r="G168" s="109" t="s">
        <v>513</v>
      </c>
      <c r="H168" s="110"/>
      <c r="I168" s="103"/>
      <c r="J168" s="103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</row>
    <row r="169">
      <c r="A169" s="103" t="s">
        <v>447</v>
      </c>
      <c r="B169" s="104" t="s">
        <v>448</v>
      </c>
      <c r="C169" s="103" t="s">
        <v>449</v>
      </c>
      <c r="D169" s="105">
        <v>6050.0</v>
      </c>
      <c r="E169" s="105">
        <v>23818.0</v>
      </c>
      <c r="F169" s="109">
        <v>1962.0</v>
      </c>
      <c r="G169" s="109">
        <v>1965.0</v>
      </c>
      <c r="H169" s="110"/>
      <c r="I169" s="103"/>
      <c r="J169" s="103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</row>
    <row r="170">
      <c r="A170" s="103" t="s">
        <v>450</v>
      </c>
      <c r="B170" s="104" t="s">
        <v>451</v>
      </c>
      <c r="C170" s="103" t="s">
        <v>452</v>
      </c>
      <c r="D170" s="105">
        <v>6051.0</v>
      </c>
      <c r="E170" s="105">
        <v>35559.0</v>
      </c>
      <c r="F170" s="106">
        <v>1961.0</v>
      </c>
      <c r="G170" s="106">
        <v>1983.0</v>
      </c>
      <c r="H170" s="103" t="s">
        <v>865</v>
      </c>
      <c r="I170" s="103"/>
      <c r="J170" s="103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</row>
    <row r="171">
      <c r="A171" s="103" t="s">
        <v>453</v>
      </c>
      <c r="B171" s="104" t="s">
        <v>454</v>
      </c>
      <c r="C171" s="103" t="s">
        <v>455</v>
      </c>
      <c r="D171" s="105">
        <v>6066.0</v>
      </c>
      <c r="E171" s="105">
        <v>31418.0</v>
      </c>
      <c r="F171" s="106">
        <v>1961.0</v>
      </c>
      <c r="G171" s="106">
        <v>1983.0</v>
      </c>
      <c r="H171" s="103" t="s">
        <v>866</v>
      </c>
      <c r="I171" s="103"/>
      <c r="J171" s="103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</row>
    <row r="172">
      <c r="A172" s="103" t="s">
        <v>867</v>
      </c>
      <c r="B172" s="104" t="s">
        <v>868</v>
      </c>
      <c r="C172" s="103" t="s">
        <v>869</v>
      </c>
      <c r="D172" s="105">
        <v>6211.0</v>
      </c>
      <c r="E172" s="105">
        <v>38877.0</v>
      </c>
      <c r="F172" s="109" t="s">
        <v>513</v>
      </c>
      <c r="G172" s="109" t="s">
        <v>513</v>
      </c>
      <c r="H172" s="110"/>
      <c r="I172" s="107"/>
      <c r="J172" s="107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</row>
    <row r="173">
      <c r="A173" s="103" t="s">
        <v>870</v>
      </c>
      <c r="B173" s="104" t="s">
        <v>871</v>
      </c>
      <c r="C173" s="103" t="s">
        <v>872</v>
      </c>
      <c r="D173" s="105">
        <v>6219.0</v>
      </c>
      <c r="E173" s="105">
        <v>41720.0</v>
      </c>
      <c r="F173" s="109" t="s">
        <v>513</v>
      </c>
      <c r="G173" s="109" t="s">
        <v>513</v>
      </c>
      <c r="H173" s="110"/>
      <c r="I173" s="103"/>
      <c r="J173" s="103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</row>
    <row r="174">
      <c r="A174" s="103" t="s">
        <v>873</v>
      </c>
      <c r="B174" s="104" t="s">
        <v>874</v>
      </c>
      <c r="C174" s="103" t="s">
        <v>875</v>
      </c>
      <c r="D174" s="105">
        <v>6299.0</v>
      </c>
      <c r="E174" s="105">
        <v>36526.0</v>
      </c>
      <c r="F174" s="109">
        <v>1966.0</v>
      </c>
      <c r="G174" s="109">
        <v>1971.0</v>
      </c>
      <c r="H174" s="110"/>
      <c r="I174" s="107"/>
      <c r="J174" s="107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</row>
    <row r="175">
      <c r="A175" s="103" t="s">
        <v>876</v>
      </c>
      <c r="B175" s="104" t="s">
        <v>877</v>
      </c>
      <c r="C175" s="103" t="s">
        <v>878</v>
      </c>
      <c r="D175" s="105">
        <v>6315.0</v>
      </c>
      <c r="E175" s="105">
        <v>33686.0</v>
      </c>
      <c r="F175" s="109" t="s">
        <v>513</v>
      </c>
      <c r="G175" s="109" t="s">
        <v>513</v>
      </c>
      <c r="H175" s="110"/>
      <c r="I175" s="107"/>
      <c r="J175" s="107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</row>
    <row r="176">
      <c r="A176" s="103" t="s">
        <v>879</v>
      </c>
      <c r="B176" s="104" t="s">
        <v>880</v>
      </c>
      <c r="C176" s="103" t="s">
        <v>881</v>
      </c>
      <c r="D176" s="105">
        <v>6507.0</v>
      </c>
      <c r="E176" s="105">
        <v>40518.0</v>
      </c>
      <c r="F176" s="109">
        <v>1961.0</v>
      </c>
      <c r="G176" s="109">
        <v>1975.0</v>
      </c>
      <c r="H176" s="110"/>
      <c r="I176" s="103"/>
      <c r="J176" s="103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</row>
    <row r="177">
      <c r="A177" s="103" t="s">
        <v>882</v>
      </c>
      <c r="B177" s="104" t="s">
        <v>883</v>
      </c>
      <c r="C177" s="103" t="s">
        <v>884</v>
      </c>
      <c r="D177" s="105">
        <v>6661.0</v>
      </c>
      <c r="E177" s="105">
        <v>39957.0</v>
      </c>
      <c r="F177" s="106">
        <v>1972.0</v>
      </c>
      <c r="G177" s="106">
        <v>1982.0</v>
      </c>
      <c r="H177" s="103" t="s">
        <v>885</v>
      </c>
      <c r="I177" s="107"/>
      <c r="J177" s="107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</row>
    <row r="178">
      <c r="A178" s="103" t="s">
        <v>886</v>
      </c>
      <c r="B178" s="104" t="s">
        <v>887</v>
      </c>
      <c r="C178" s="103" t="s">
        <v>888</v>
      </c>
      <c r="D178" s="105">
        <v>6719.0</v>
      </c>
      <c r="E178" s="105">
        <v>37265.0</v>
      </c>
      <c r="F178" s="106">
        <v>1979.0</v>
      </c>
      <c r="G178" s="106">
        <v>1983.0</v>
      </c>
      <c r="H178" s="103" t="s">
        <v>889</v>
      </c>
      <c r="I178" s="107"/>
      <c r="J178" s="107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</row>
    <row r="179">
      <c r="A179" s="103" t="s">
        <v>890</v>
      </c>
      <c r="B179" s="104" t="s">
        <v>891</v>
      </c>
      <c r="C179" s="103" t="s">
        <v>892</v>
      </c>
      <c r="D179" s="105">
        <v>6724.0</v>
      </c>
      <c r="E179" s="105">
        <v>32435.0</v>
      </c>
      <c r="F179" s="106">
        <v>1983.0</v>
      </c>
      <c r="G179" s="106">
        <v>1988.0</v>
      </c>
      <c r="H179" s="103" t="s">
        <v>893</v>
      </c>
      <c r="I179" s="103"/>
      <c r="J179" s="103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</row>
    <row r="180">
      <c r="A180" s="103" t="s">
        <v>894</v>
      </c>
      <c r="B180" s="104" t="s">
        <v>895</v>
      </c>
      <c r="C180" s="103" t="s">
        <v>896</v>
      </c>
      <c r="D180" s="105">
        <v>6813.0</v>
      </c>
      <c r="E180" s="105">
        <v>37252.0</v>
      </c>
      <c r="F180" s="106">
        <v>1974.0</v>
      </c>
      <c r="G180" s="106">
        <v>1985.0</v>
      </c>
      <c r="H180" s="103" t="s">
        <v>897</v>
      </c>
      <c r="I180" s="103"/>
      <c r="J180" s="103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</row>
    <row r="181">
      <c r="A181" s="103" t="s">
        <v>898</v>
      </c>
      <c r="B181" s="104" t="s">
        <v>899</v>
      </c>
      <c r="C181" s="103" t="s">
        <v>900</v>
      </c>
      <c r="D181" s="105">
        <v>6870.0</v>
      </c>
      <c r="E181" s="105">
        <v>37031.0</v>
      </c>
      <c r="F181" s="106">
        <v>1979.0</v>
      </c>
      <c r="G181" s="106">
        <v>1985.0</v>
      </c>
      <c r="H181" s="103" t="s">
        <v>901</v>
      </c>
      <c r="I181" s="103"/>
      <c r="J181" s="103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</row>
    <row r="182">
      <c r="A182" s="103" t="s">
        <v>902</v>
      </c>
      <c r="B182" s="104" t="s">
        <v>903</v>
      </c>
      <c r="C182" s="103" t="s">
        <v>904</v>
      </c>
      <c r="D182" s="105">
        <v>6911.0</v>
      </c>
      <c r="E182" s="105">
        <v>41758.0</v>
      </c>
      <c r="F182" s="109" t="s">
        <v>513</v>
      </c>
      <c r="G182" s="109" t="s">
        <v>513</v>
      </c>
      <c r="H182" s="110"/>
      <c r="I182" s="103"/>
      <c r="J182" s="103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</row>
    <row r="183">
      <c r="A183" s="103" t="s">
        <v>459</v>
      </c>
      <c r="B183" s="104" t="s">
        <v>460</v>
      </c>
      <c r="C183" s="103" t="s">
        <v>461</v>
      </c>
      <c r="D183" s="105">
        <v>6912.0</v>
      </c>
      <c r="E183" s="105">
        <v>39862.0</v>
      </c>
      <c r="F183" s="109">
        <v>1966.0</v>
      </c>
      <c r="G183" s="109">
        <v>1983.0</v>
      </c>
      <c r="H183" s="112" t="s">
        <v>905</v>
      </c>
      <c r="I183" s="103"/>
      <c r="J183" s="103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</row>
    <row r="184">
      <c r="A184" s="103" t="s">
        <v>906</v>
      </c>
      <c r="B184" s="104" t="s">
        <v>907</v>
      </c>
      <c r="C184" s="103" t="s">
        <v>908</v>
      </c>
      <c r="D184" s="105">
        <v>6968.0</v>
      </c>
      <c r="E184" s="105">
        <v>37494.0</v>
      </c>
      <c r="F184" s="106">
        <v>1975.0</v>
      </c>
      <c r="G184" s="106">
        <v>1977.0</v>
      </c>
      <c r="H184" s="103" t="s">
        <v>909</v>
      </c>
      <c r="I184" s="107"/>
      <c r="J184" s="107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</row>
    <row r="185">
      <c r="A185" s="103" t="s">
        <v>910</v>
      </c>
      <c r="B185" s="104" t="s">
        <v>911</v>
      </c>
      <c r="C185" s="103" t="s">
        <v>912</v>
      </c>
      <c r="D185" s="105">
        <v>7042.0</v>
      </c>
      <c r="E185" s="105">
        <v>40008.0</v>
      </c>
      <c r="F185" s="109" t="s">
        <v>513</v>
      </c>
      <c r="G185" s="109" t="s">
        <v>513</v>
      </c>
      <c r="H185" s="110"/>
      <c r="I185" s="107"/>
      <c r="J185" s="107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</row>
    <row r="186">
      <c r="A186" s="103" t="s">
        <v>913</v>
      </c>
      <c r="B186" s="104" t="s">
        <v>914</v>
      </c>
      <c r="C186" s="103" t="s">
        <v>915</v>
      </c>
      <c r="D186" s="105">
        <v>7154.0</v>
      </c>
      <c r="E186" s="105">
        <v>43455.0</v>
      </c>
      <c r="F186" s="106">
        <v>1971.0</v>
      </c>
      <c r="G186" s="106">
        <v>1986.0</v>
      </c>
      <c r="H186" s="103" t="s">
        <v>916</v>
      </c>
      <c r="I186" s="103"/>
      <c r="J186" s="103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</row>
    <row r="187">
      <c r="A187" s="103" t="s">
        <v>917</v>
      </c>
      <c r="B187" s="104" t="s">
        <v>918</v>
      </c>
      <c r="C187" s="103" t="s">
        <v>919</v>
      </c>
      <c r="D187" s="105">
        <v>7249.0</v>
      </c>
      <c r="E187" s="105">
        <v>37538.0</v>
      </c>
      <c r="F187" s="109" t="s">
        <v>513</v>
      </c>
      <c r="G187" s="109" t="s">
        <v>513</v>
      </c>
      <c r="H187" s="110"/>
      <c r="I187" s="107"/>
      <c r="J187" s="107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</row>
    <row r="188">
      <c r="A188" s="103" t="s">
        <v>920</v>
      </c>
      <c r="B188" s="104" t="s">
        <v>921</v>
      </c>
      <c r="C188" s="103" t="s">
        <v>922</v>
      </c>
      <c r="D188" s="105">
        <v>7318.0</v>
      </c>
      <c r="E188" s="105">
        <v>41259.0</v>
      </c>
      <c r="F188" s="106" t="s">
        <v>513</v>
      </c>
      <c r="G188" s="106" t="s">
        <v>513</v>
      </c>
      <c r="H188" s="103" t="s">
        <v>923</v>
      </c>
      <c r="I188" s="107"/>
      <c r="J188" s="107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</row>
    <row r="189">
      <c r="A189" s="103" t="s">
        <v>924</v>
      </c>
      <c r="B189" s="104" t="s">
        <v>925</v>
      </c>
      <c r="C189" s="103" t="s">
        <v>926</v>
      </c>
      <c r="D189" s="105">
        <v>7334.0</v>
      </c>
      <c r="E189" s="105">
        <v>26937.0</v>
      </c>
      <c r="F189" s="109" t="s">
        <v>513</v>
      </c>
      <c r="G189" s="109" t="s">
        <v>513</v>
      </c>
      <c r="H189" s="110"/>
      <c r="I189" s="103"/>
      <c r="J189" s="103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</row>
    <row r="190">
      <c r="A190" s="103" t="s">
        <v>466</v>
      </c>
      <c r="B190" s="104" t="s">
        <v>467</v>
      </c>
      <c r="C190" s="103" t="s">
        <v>468</v>
      </c>
      <c r="D190" s="105">
        <v>7441.0</v>
      </c>
      <c r="E190" s="105">
        <v>35265.0</v>
      </c>
      <c r="F190" s="106">
        <v>1952.0</v>
      </c>
      <c r="G190" s="106">
        <v>1985.0</v>
      </c>
      <c r="H190" s="103" t="s">
        <v>927</v>
      </c>
      <c r="I190" s="107"/>
      <c r="J190" s="107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</row>
    <row r="191">
      <c r="A191" s="103" t="s">
        <v>471</v>
      </c>
      <c r="B191" s="104" t="s">
        <v>472</v>
      </c>
      <c r="C191" s="103" t="s">
        <v>473</v>
      </c>
      <c r="D191" s="105">
        <v>7542.0</v>
      </c>
      <c r="E191" s="105">
        <v>40815.0</v>
      </c>
      <c r="F191" s="106">
        <v>1962.0</v>
      </c>
      <c r="G191" s="106">
        <v>1986.0</v>
      </c>
      <c r="H191" s="103" t="s">
        <v>928</v>
      </c>
      <c r="I191" s="107"/>
      <c r="J191" s="107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</row>
    <row r="192">
      <c r="A192" s="103" t="s">
        <v>929</v>
      </c>
      <c r="B192" s="104" t="s">
        <v>930</v>
      </c>
      <c r="C192" s="103" t="s">
        <v>931</v>
      </c>
      <c r="D192" s="105">
        <v>7559.0</v>
      </c>
      <c r="E192" s="105">
        <v>39814.0</v>
      </c>
      <c r="F192" s="106" t="s">
        <v>513</v>
      </c>
      <c r="G192" s="106" t="s">
        <v>513</v>
      </c>
      <c r="H192" s="103" t="s">
        <v>932</v>
      </c>
      <c r="I192" s="103"/>
      <c r="J192" s="103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</row>
    <row r="193">
      <c r="A193" s="103" t="s">
        <v>933</v>
      </c>
      <c r="B193" s="104" t="s">
        <v>934</v>
      </c>
      <c r="C193" s="103" t="s">
        <v>935</v>
      </c>
      <c r="D193" s="105">
        <v>7560.0</v>
      </c>
      <c r="E193" s="105">
        <v>39972.0</v>
      </c>
      <c r="F193" s="109" t="s">
        <v>513</v>
      </c>
      <c r="G193" s="109" t="s">
        <v>513</v>
      </c>
      <c r="H193" s="110"/>
      <c r="I193" s="103"/>
      <c r="J193" s="103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</row>
    <row r="194">
      <c r="A194" s="103" t="s">
        <v>936</v>
      </c>
      <c r="B194" s="104" t="s">
        <v>937</v>
      </c>
      <c r="C194" s="103" t="s">
        <v>938</v>
      </c>
      <c r="D194" s="105">
        <v>7660.0</v>
      </c>
      <c r="E194" s="105">
        <v>35885.0</v>
      </c>
      <c r="F194" s="106">
        <v>1974.0</v>
      </c>
      <c r="G194" s="106">
        <v>1987.0</v>
      </c>
      <c r="H194" s="103" t="s">
        <v>939</v>
      </c>
      <c r="I194" s="103"/>
      <c r="J194" s="103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</row>
    <row r="195">
      <c r="A195" s="113" t="s">
        <v>940</v>
      </c>
      <c r="B195" s="114" t="s">
        <v>941</v>
      </c>
      <c r="C195" s="113" t="s">
        <v>942</v>
      </c>
      <c r="D195" s="115">
        <v>7672.0</v>
      </c>
      <c r="E195" s="115">
        <v>40909.0</v>
      </c>
      <c r="F195" s="116">
        <v>1973.0</v>
      </c>
      <c r="G195" s="116">
        <v>1986.0</v>
      </c>
      <c r="H195" s="113" t="s">
        <v>943</v>
      </c>
      <c r="I195" s="117"/>
      <c r="J195" s="117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</row>
    <row r="196">
      <c r="A196" s="113" t="s">
        <v>944</v>
      </c>
      <c r="B196" s="114" t="s">
        <v>945</v>
      </c>
      <c r="C196" s="113" t="s">
        <v>946</v>
      </c>
      <c r="D196" s="115">
        <v>7896.0</v>
      </c>
      <c r="E196" s="115">
        <v>42583.0</v>
      </c>
      <c r="F196" s="116">
        <v>1973.0</v>
      </c>
      <c r="G196" s="116">
        <v>1987.0</v>
      </c>
      <c r="H196" s="113" t="s">
        <v>947</v>
      </c>
      <c r="I196" s="119"/>
      <c r="J196" s="119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</row>
    <row r="197">
      <c r="A197" s="113" t="s">
        <v>948</v>
      </c>
      <c r="B197" s="114" t="s">
        <v>949</v>
      </c>
      <c r="C197" s="113" t="s">
        <v>950</v>
      </c>
      <c r="D197" s="115">
        <v>7903.0</v>
      </c>
      <c r="E197" s="115">
        <v>44009.0</v>
      </c>
      <c r="F197" s="120" t="s">
        <v>513</v>
      </c>
      <c r="G197" s="120" t="s">
        <v>513</v>
      </c>
      <c r="H197" s="121"/>
      <c r="I197" s="113"/>
      <c r="J197" s="113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</row>
    <row r="198">
      <c r="A198" s="113" t="s">
        <v>951</v>
      </c>
      <c r="B198" s="114" t="s">
        <v>952</v>
      </c>
      <c r="C198" s="113" t="s">
        <v>953</v>
      </c>
      <c r="D198" s="115">
        <v>7987.0</v>
      </c>
      <c r="E198" s="115">
        <v>38862.0</v>
      </c>
      <c r="F198" s="116" t="s">
        <v>513</v>
      </c>
      <c r="G198" s="116" t="s">
        <v>513</v>
      </c>
      <c r="H198" s="113" t="s">
        <v>954</v>
      </c>
      <c r="I198" s="122" t="s">
        <v>955</v>
      </c>
      <c r="J198" s="113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</row>
    <row r="199">
      <c r="A199" s="113" t="s">
        <v>956</v>
      </c>
      <c r="B199" s="114" t="s">
        <v>957</v>
      </c>
      <c r="C199" s="113" t="s">
        <v>958</v>
      </c>
      <c r="D199" s="115">
        <v>8037.0</v>
      </c>
      <c r="E199" s="115">
        <v>42006.0</v>
      </c>
      <c r="F199" s="116">
        <v>1977.0</v>
      </c>
      <c r="G199" s="116">
        <v>1989.0</v>
      </c>
      <c r="H199" s="113" t="s">
        <v>959</v>
      </c>
      <c r="I199" s="113"/>
      <c r="J199" s="113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</row>
    <row r="200">
      <c r="A200" s="113" t="s">
        <v>960</v>
      </c>
      <c r="B200" s="114" t="s">
        <v>961</v>
      </c>
      <c r="C200" s="113" t="s">
        <v>962</v>
      </c>
      <c r="D200" s="115">
        <v>8173.0</v>
      </c>
      <c r="E200" s="115">
        <v>42187.0</v>
      </c>
      <c r="F200" s="116" t="s">
        <v>513</v>
      </c>
      <c r="G200" s="116" t="s">
        <v>513</v>
      </c>
      <c r="H200" s="113" t="s">
        <v>963</v>
      </c>
      <c r="I200" s="113"/>
      <c r="J200" s="113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</row>
    <row r="201">
      <c r="A201" s="113" t="s">
        <v>964</v>
      </c>
      <c r="B201" s="114" t="s">
        <v>965</v>
      </c>
      <c r="C201" s="113" t="s">
        <v>966</v>
      </c>
      <c r="D201" s="115">
        <v>8413.0</v>
      </c>
      <c r="E201" s="115">
        <v>37987.0</v>
      </c>
      <c r="F201" s="116">
        <v>1971.0</v>
      </c>
      <c r="G201" s="116">
        <v>1981.0</v>
      </c>
      <c r="H201" s="113" t="s">
        <v>967</v>
      </c>
      <c r="I201" s="117"/>
      <c r="J201" s="117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</row>
    <row r="202">
      <c r="A202" s="113" t="s">
        <v>968</v>
      </c>
      <c r="B202" s="114" t="s">
        <v>969</v>
      </c>
      <c r="C202" s="113" t="s">
        <v>970</v>
      </c>
      <c r="D202" s="115">
        <v>8426.0</v>
      </c>
      <c r="E202" s="115">
        <v>37061.0</v>
      </c>
      <c r="F202" s="120">
        <v>1967.0</v>
      </c>
      <c r="G202" s="120">
        <v>1989.0</v>
      </c>
      <c r="H202" s="121"/>
      <c r="I202" s="113" t="s">
        <v>971</v>
      </c>
      <c r="J202" s="113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</row>
    <row r="203">
      <c r="A203" s="113" t="s">
        <v>972</v>
      </c>
      <c r="B203" s="114" t="s">
        <v>973</v>
      </c>
      <c r="C203" s="113" t="s">
        <v>974</v>
      </c>
      <c r="D203" s="115">
        <v>8764.0</v>
      </c>
      <c r="E203" s="115">
        <v>36047.0</v>
      </c>
      <c r="F203" s="116">
        <v>1979.0</v>
      </c>
      <c r="G203" s="116">
        <v>1989.0</v>
      </c>
      <c r="H203" s="113" t="s">
        <v>975</v>
      </c>
      <c r="I203" s="123" t="s">
        <v>976</v>
      </c>
      <c r="J203" s="113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</row>
    <row r="204">
      <c r="A204" s="113" t="s">
        <v>977</v>
      </c>
      <c r="B204" s="114" t="s">
        <v>978</v>
      </c>
      <c r="C204" s="113" t="s">
        <v>979</v>
      </c>
      <c r="D204" s="115">
        <v>8800.0</v>
      </c>
      <c r="E204" s="115">
        <v>41923.0</v>
      </c>
      <c r="F204" s="116">
        <v>1974.0</v>
      </c>
      <c r="G204" s="116">
        <v>1989.0</v>
      </c>
      <c r="H204" s="113" t="s">
        <v>980</v>
      </c>
      <c r="I204" s="113"/>
      <c r="J204" s="113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</row>
    <row r="205">
      <c r="A205" s="113" t="s">
        <v>981</v>
      </c>
      <c r="B205" s="114" t="s">
        <v>982</v>
      </c>
      <c r="C205" s="113" t="s">
        <v>983</v>
      </c>
      <c r="D205" s="115">
        <v>8814.0</v>
      </c>
      <c r="E205" s="115">
        <v>39406.0</v>
      </c>
      <c r="F205" s="116" t="s">
        <v>513</v>
      </c>
      <c r="G205" s="116" t="s">
        <v>513</v>
      </c>
      <c r="H205" s="113" t="s">
        <v>984</v>
      </c>
      <c r="I205" s="119" t="s">
        <v>985</v>
      </c>
      <c r="J205" s="117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</row>
    <row r="206">
      <c r="A206" s="113" t="s">
        <v>986</v>
      </c>
      <c r="B206" s="114" t="s">
        <v>987</v>
      </c>
      <c r="C206" s="113" t="s">
        <v>988</v>
      </c>
      <c r="D206" s="115">
        <v>8854.0</v>
      </c>
      <c r="E206" s="115">
        <v>43435.0</v>
      </c>
      <c r="F206" s="120" t="s">
        <v>513</v>
      </c>
      <c r="G206" s="120" t="s">
        <v>513</v>
      </c>
      <c r="H206" s="121"/>
      <c r="I206" s="117"/>
      <c r="J206" s="117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</row>
    <row r="207">
      <c r="A207" s="113" t="s">
        <v>989</v>
      </c>
      <c r="B207" s="114" t="s">
        <v>990</v>
      </c>
      <c r="C207" s="113" t="s">
        <v>991</v>
      </c>
      <c r="D207" s="115">
        <v>9079.0</v>
      </c>
      <c r="E207" s="115">
        <v>39950.0</v>
      </c>
      <c r="F207" s="116">
        <v>1972.0</v>
      </c>
      <c r="G207" s="116">
        <v>1989.0</v>
      </c>
      <c r="H207" s="113" t="s">
        <v>992</v>
      </c>
      <c r="I207" s="117"/>
      <c r="J207" s="117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</row>
    <row r="208">
      <c r="A208" s="113" t="s">
        <v>993</v>
      </c>
      <c r="B208" s="114" t="s">
        <v>994</v>
      </c>
      <c r="C208" s="113" t="s">
        <v>995</v>
      </c>
      <c r="D208" s="115">
        <v>9154.0</v>
      </c>
      <c r="E208" s="113" t="s">
        <v>513</v>
      </c>
      <c r="F208" s="120">
        <v>1969.0</v>
      </c>
      <c r="G208" s="120" t="s">
        <v>513</v>
      </c>
      <c r="H208" s="124" t="s">
        <v>996</v>
      </c>
      <c r="I208" s="117"/>
      <c r="J208" s="117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</row>
    <row r="209">
      <c r="A209" s="113" t="s">
        <v>997</v>
      </c>
      <c r="B209" s="114" t="s">
        <v>998</v>
      </c>
      <c r="C209" s="113" t="s">
        <v>999</v>
      </c>
      <c r="D209" s="115">
        <v>9256.0</v>
      </c>
      <c r="E209" s="115">
        <v>38436.0</v>
      </c>
      <c r="F209" s="120" t="s">
        <v>513</v>
      </c>
      <c r="G209" s="120" t="s">
        <v>513</v>
      </c>
      <c r="H209" s="121"/>
      <c r="I209" s="113" t="s">
        <v>1000</v>
      </c>
      <c r="J209" s="113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</row>
    <row r="210">
      <c r="A210" s="113" t="s">
        <v>1001</v>
      </c>
      <c r="B210" s="114" t="s">
        <v>1002</v>
      </c>
      <c r="C210" s="113" t="s">
        <v>1003</v>
      </c>
      <c r="D210" s="115">
        <v>9329.0</v>
      </c>
      <c r="E210" s="115">
        <v>28909.0</v>
      </c>
      <c r="F210" s="120" t="s">
        <v>513</v>
      </c>
      <c r="G210" s="120" t="s">
        <v>513</v>
      </c>
      <c r="H210" s="121"/>
      <c r="I210" s="117"/>
      <c r="J210" s="117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</row>
    <row r="211">
      <c r="A211" s="113" t="s">
        <v>480</v>
      </c>
      <c r="B211" s="114" t="s">
        <v>481</v>
      </c>
      <c r="C211" s="113" t="s">
        <v>482</v>
      </c>
      <c r="D211" s="115">
        <v>9339.0</v>
      </c>
      <c r="E211" s="115">
        <v>36644.0</v>
      </c>
      <c r="F211" s="116">
        <v>1967.0</v>
      </c>
      <c r="G211" s="116">
        <v>1992.0</v>
      </c>
      <c r="H211" s="113" t="s">
        <v>1004</v>
      </c>
      <c r="I211" s="123" t="s">
        <v>1005</v>
      </c>
      <c r="J211" s="125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</row>
    <row r="212">
      <c r="A212" s="113" t="s">
        <v>486</v>
      </c>
      <c r="B212" s="114" t="s">
        <v>487</v>
      </c>
      <c r="C212" s="113" t="s">
        <v>488</v>
      </c>
      <c r="D212" s="115">
        <v>9376.0</v>
      </c>
      <c r="E212" s="115">
        <v>43269.0</v>
      </c>
      <c r="F212" s="116">
        <v>1971.0</v>
      </c>
      <c r="G212" s="116">
        <v>1991.0</v>
      </c>
      <c r="H212" s="113" t="s">
        <v>1006</v>
      </c>
      <c r="I212" s="113" t="s">
        <v>1007</v>
      </c>
      <c r="J212" s="113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</row>
    <row r="213">
      <c r="A213" s="113" t="s">
        <v>1008</v>
      </c>
      <c r="B213" s="114" t="s">
        <v>1009</v>
      </c>
      <c r="C213" s="113" t="s">
        <v>1010</v>
      </c>
      <c r="D213" s="115">
        <v>9405.0</v>
      </c>
      <c r="E213" s="115">
        <v>38630.0</v>
      </c>
      <c r="F213" s="116">
        <v>1980.0</v>
      </c>
      <c r="G213" s="116">
        <v>1991.0</v>
      </c>
      <c r="H213" s="113" t="s">
        <v>1011</v>
      </c>
      <c r="I213" s="113"/>
      <c r="J213" s="113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</row>
    <row r="214">
      <c r="A214" s="113" t="s">
        <v>1012</v>
      </c>
      <c r="B214" s="114" t="s">
        <v>1013</v>
      </c>
      <c r="C214" s="113" t="s">
        <v>1014</v>
      </c>
      <c r="D214" s="115">
        <v>9498.0</v>
      </c>
      <c r="E214" s="113" t="s">
        <v>513</v>
      </c>
      <c r="F214" s="120" t="s">
        <v>513</v>
      </c>
      <c r="G214" s="120" t="s">
        <v>513</v>
      </c>
      <c r="H214" s="121"/>
      <c r="I214" s="126" t="s">
        <v>1015</v>
      </c>
      <c r="J214" s="117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</row>
    <row r="215">
      <c r="A215" s="113" t="s">
        <v>1016</v>
      </c>
      <c r="B215" s="114" t="s">
        <v>1017</v>
      </c>
      <c r="C215" s="113" t="s">
        <v>1018</v>
      </c>
      <c r="D215" s="115">
        <v>9505.0</v>
      </c>
      <c r="E215" s="115">
        <v>39371.0</v>
      </c>
      <c r="F215" s="120" t="s">
        <v>513</v>
      </c>
      <c r="G215" s="120" t="s">
        <v>513</v>
      </c>
      <c r="H215" s="121"/>
      <c r="I215" s="113" t="s">
        <v>1019</v>
      </c>
      <c r="J215" s="113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</row>
    <row r="216">
      <c r="A216" s="113" t="s">
        <v>489</v>
      </c>
      <c r="B216" s="114" t="s">
        <v>490</v>
      </c>
      <c r="C216" s="113" t="s">
        <v>491</v>
      </c>
      <c r="D216" s="115">
        <v>9628.0</v>
      </c>
      <c r="E216" s="115">
        <v>36477.0</v>
      </c>
      <c r="F216" s="116">
        <v>1969.0</v>
      </c>
      <c r="G216" s="116">
        <v>1971.0</v>
      </c>
      <c r="H216" s="113" t="s">
        <v>1020</v>
      </c>
      <c r="I216" s="125"/>
      <c r="J216" s="125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</row>
    <row r="217">
      <c r="A217" s="113" t="s">
        <v>1021</v>
      </c>
      <c r="B217" s="114" t="s">
        <v>1022</v>
      </c>
      <c r="C217" s="113" t="s">
        <v>1023</v>
      </c>
      <c r="D217" s="115">
        <v>10112.0</v>
      </c>
      <c r="E217" s="113" t="s">
        <v>513</v>
      </c>
      <c r="F217" s="120" t="s">
        <v>513</v>
      </c>
      <c r="G217" s="120" t="s">
        <v>513</v>
      </c>
      <c r="H217" s="121"/>
      <c r="I217" s="113" t="s">
        <v>1024</v>
      </c>
      <c r="J217" s="113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</row>
    <row r="218">
      <c r="A218" s="113" t="s">
        <v>1025</v>
      </c>
      <c r="B218" s="114" t="s">
        <v>1026</v>
      </c>
      <c r="C218" s="113" t="s">
        <v>1027</v>
      </c>
      <c r="D218" s="115">
        <v>10720.0</v>
      </c>
      <c r="E218" s="115">
        <v>42823.0</v>
      </c>
      <c r="F218" s="116">
        <v>1980.0</v>
      </c>
      <c r="G218" s="116">
        <v>1995.0</v>
      </c>
      <c r="H218" s="113" t="s">
        <v>1028</v>
      </c>
      <c r="I218" s="113"/>
      <c r="J218" s="113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</row>
    <row r="219">
      <c r="A219" s="113" t="s">
        <v>1029</v>
      </c>
      <c r="B219" s="114" t="s">
        <v>1030</v>
      </c>
      <c r="C219" s="113" t="s">
        <v>1031</v>
      </c>
      <c r="D219" s="115">
        <v>10790.0</v>
      </c>
      <c r="E219" s="115">
        <v>40720.0</v>
      </c>
      <c r="F219" s="116">
        <v>1998.0</v>
      </c>
      <c r="G219" s="116" t="s">
        <v>513</v>
      </c>
      <c r="H219" s="127" t="s">
        <v>1032</v>
      </c>
      <c r="I219" s="117"/>
      <c r="J219" s="117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</row>
    <row r="220">
      <c r="A220" s="113" t="s">
        <v>1033</v>
      </c>
      <c r="B220" s="114" t="s">
        <v>1034</v>
      </c>
      <c r="C220" s="113" t="s">
        <v>1035</v>
      </c>
      <c r="D220" s="115">
        <v>10959.0</v>
      </c>
      <c r="E220" s="113" t="s">
        <v>513</v>
      </c>
      <c r="F220" s="116" t="s">
        <v>513</v>
      </c>
      <c r="G220" s="116" t="s">
        <v>513</v>
      </c>
      <c r="H220" s="113" t="s">
        <v>1036</v>
      </c>
      <c r="I220" s="128" t="s">
        <v>1037</v>
      </c>
      <c r="J220" s="113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</row>
    <row r="221">
      <c r="A221" s="113" t="s">
        <v>1038</v>
      </c>
      <c r="B221" s="114" t="s">
        <v>1039</v>
      </c>
      <c r="C221" s="113" t="s">
        <v>1040</v>
      </c>
      <c r="D221" s="115">
        <v>10959.0</v>
      </c>
      <c r="E221" s="115">
        <v>43161.0</v>
      </c>
      <c r="F221" s="120">
        <v>1986.0</v>
      </c>
      <c r="G221" s="120">
        <v>1995.0</v>
      </c>
      <c r="H221" s="121"/>
      <c r="I221" s="124" t="s">
        <v>1041</v>
      </c>
      <c r="J221" s="117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</row>
    <row r="222">
      <c r="A222" s="113" t="s">
        <v>1042</v>
      </c>
      <c r="B222" s="114" t="s">
        <v>1043</v>
      </c>
      <c r="C222" s="113" t="s">
        <v>1044</v>
      </c>
      <c r="D222" s="115">
        <v>11058.0</v>
      </c>
      <c r="E222" s="113" t="s">
        <v>513</v>
      </c>
      <c r="F222" s="116" t="s">
        <v>513</v>
      </c>
      <c r="G222" s="116">
        <v>1995.0</v>
      </c>
      <c r="H222" s="127" t="s">
        <v>1045</v>
      </c>
      <c r="I222" s="117"/>
      <c r="J222" s="117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</row>
    <row r="223">
      <c r="A223" s="113" t="s">
        <v>1046</v>
      </c>
      <c r="B223" s="114" t="s">
        <v>1047</v>
      </c>
      <c r="C223" s="113" t="s">
        <v>1048</v>
      </c>
      <c r="D223" s="115">
        <v>11098.0</v>
      </c>
      <c r="E223" s="113" t="s">
        <v>513</v>
      </c>
      <c r="F223" s="120">
        <v>1986.0</v>
      </c>
      <c r="G223" s="120">
        <v>1995.0</v>
      </c>
      <c r="H223" s="129"/>
      <c r="I223" s="114" t="s">
        <v>1049</v>
      </c>
      <c r="J223" s="113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</row>
    <row r="224">
      <c r="A224" s="113" t="s">
        <v>1050</v>
      </c>
      <c r="B224" s="114" t="s">
        <v>1051</v>
      </c>
      <c r="C224" s="113" t="s">
        <v>1052</v>
      </c>
      <c r="D224" s="115">
        <v>11142.0</v>
      </c>
      <c r="E224" s="115">
        <v>44169.0</v>
      </c>
      <c r="F224" s="120" t="s">
        <v>513</v>
      </c>
      <c r="G224" s="120" t="s">
        <v>513</v>
      </c>
      <c r="H224" s="121"/>
      <c r="I224" s="130" t="s">
        <v>1053</v>
      </c>
      <c r="J224" s="113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</row>
    <row r="225">
      <c r="A225" s="113" t="s">
        <v>1054</v>
      </c>
      <c r="B225" s="114" t="s">
        <v>1055</v>
      </c>
      <c r="C225" s="113" t="s">
        <v>1056</v>
      </c>
      <c r="D225" s="115">
        <v>11219.0</v>
      </c>
      <c r="E225" s="115">
        <v>43056.0</v>
      </c>
      <c r="F225" s="116">
        <v>1973.0</v>
      </c>
      <c r="G225" s="116">
        <v>1995.0</v>
      </c>
      <c r="H225" s="113" t="s">
        <v>1057</v>
      </c>
      <c r="I225" s="113"/>
      <c r="J225" s="113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</row>
    <row r="226">
      <c r="A226" s="113" t="s">
        <v>1058</v>
      </c>
      <c r="B226" s="114" t="s">
        <v>1059</v>
      </c>
      <c r="C226" s="113" t="s">
        <v>1060</v>
      </c>
      <c r="D226" s="115">
        <v>11324.0</v>
      </c>
      <c r="E226" s="115">
        <v>41516.0</v>
      </c>
      <c r="F226" s="116">
        <v>1965.0</v>
      </c>
      <c r="G226" s="116">
        <v>1979.0</v>
      </c>
      <c r="H226" s="113" t="s">
        <v>1061</v>
      </c>
      <c r="I226" s="124" t="s">
        <v>1062</v>
      </c>
      <c r="J226" s="117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</row>
    <row r="227">
      <c r="A227" s="113" t="s">
        <v>1063</v>
      </c>
      <c r="B227" s="114" t="s">
        <v>1064</v>
      </c>
      <c r="C227" s="113" t="s">
        <v>1065</v>
      </c>
      <c r="D227" s="115">
        <v>11395.0</v>
      </c>
      <c r="E227" s="113" t="s">
        <v>513</v>
      </c>
      <c r="F227" s="116">
        <v>1973.0</v>
      </c>
      <c r="G227" s="116">
        <v>1998.0</v>
      </c>
      <c r="H227" s="113" t="s">
        <v>1066</v>
      </c>
      <c r="I227" s="124" t="s">
        <v>1067</v>
      </c>
      <c r="J227" s="117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</row>
    <row r="228">
      <c r="A228" s="113" t="s">
        <v>1068</v>
      </c>
      <c r="B228" s="114" t="s">
        <v>1069</v>
      </c>
      <c r="C228" s="113" t="s">
        <v>1070</v>
      </c>
      <c r="D228" s="115">
        <v>11436.0</v>
      </c>
      <c r="E228" s="113" t="s">
        <v>513</v>
      </c>
      <c r="F228" s="120">
        <v>1967.0</v>
      </c>
      <c r="G228" s="120">
        <v>1992.0</v>
      </c>
      <c r="H228" s="121"/>
      <c r="I228" s="124" t="s">
        <v>1069</v>
      </c>
      <c r="J228" s="119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</row>
    <row r="229">
      <c r="A229" s="113" t="s">
        <v>1071</v>
      </c>
      <c r="B229" s="114" t="s">
        <v>1072</v>
      </c>
      <c r="C229" s="113" t="s">
        <v>1073</v>
      </c>
      <c r="D229" s="115">
        <v>11677.0</v>
      </c>
      <c r="E229" s="115">
        <v>44432.0</v>
      </c>
      <c r="F229" s="120">
        <v>1974.0</v>
      </c>
      <c r="G229" s="120">
        <v>1997.0</v>
      </c>
      <c r="H229" s="119" t="s">
        <v>654</v>
      </c>
      <c r="I229" s="124" t="s">
        <v>1074</v>
      </c>
      <c r="J229" s="117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</row>
    <row r="230">
      <c r="A230" s="113" t="s">
        <v>1075</v>
      </c>
      <c r="B230" s="114" t="s">
        <v>1076</v>
      </c>
      <c r="C230" s="113" t="s">
        <v>1077</v>
      </c>
      <c r="D230" s="115">
        <v>11689.0</v>
      </c>
      <c r="E230" s="113" t="s">
        <v>513</v>
      </c>
      <c r="F230" s="120">
        <v>1965.0</v>
      </c>
      <c r="G230" s="120">
        <v>1996.0</v>
      </c>
      <c r="H230" s="129"/>
      <c r="I230" s="117"/>
      <c r="J230" s="117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</row>
    <row r="231">
      <c r="A231" s="113" t="s">
        <v>1078</v>
      </c>
      <c r="B231" s="114" t="s">
        <v>1079</v>
      </c>
      <c r="C231" s="113" t="s">
        <v>1080</v>
      </c>
      <c r="D231" s="115">
        <v>11739.0</v>
      </c>
      <c r="E231" s="115">
        <v>42370.0</v>
      </c>
      <c r="F231" s="120" t="s">
        <v>513</v>
      </c>
      <c r="G231" s="120" t="s">
        <v>513</v>
      </c>
      <c r="H231" s="121"/>
      <c r="I231" s="131" t="s">
        <v>1081</v>
      </c>
      <c r="J231" s="117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</row>
    <row r="232">
      <c r="A232" s="113" t="s">
        <v>1082</v>
      </c>
      <c r="B232" s="114" t="s">
        <v>1083</v>
      </c>
      <c r="C232" s="113" t="s">
        <v>1084</v>
      </c>
      <c r="D232" s="115">
        <v>11994.0</v>
      </c>
      <c r="E232" s="115">
        <v>39975.0</v>
      </c>
      <c r="F232" s="116">
        <v>1976.0</v>
      </c>
      <c r="G232" s="116">
        <v>1997.0</v>
      </c>
      <c r="H232" s="113" t="s">
        <v>1085</v>
      </c>
      <c r="I232" s="117"/>
      <c r="J232" s="117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</row>
    <row r="233">
      <c r="A233" s="113" t="s">
        <v>492</v>
      </c>
      <c r="B233" s="114" t="s">
        <v>493</v>
      </c>
      <c r="C233" s="113" t="s">
        <v>494</v>
      </c>
      <c r="D233" s="115">
        <v>12039.0</v>
      </c>
      <c r="E233" s="115">
        <v>37415.0</v>
      </c>
      <c r="F233" s="116">
        <v>1978.0</v>
      </c>
      <c r="G233" s="116">
        <v>1999.0</v>
      </c>
      <c r="H233" s="113" t="s">
        <v>1086</v>
      </c>
      <c r="I233" s="113"/>
      <c r="J233" s="113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</row>
    <row r="234">
      <c r="A234" s="113" t="s">
        <v>1087</v>
      </c>
      <c r="B234" s="114" t="s">
        <v>1088</v>
      </c>
      <c r="C234" s="113" t="s">
        <v>1089</v>
      </c>
      <c r="D234" s="115">
        <v>12043.0</v>
      </c>
      <c r="E234" s="113" t="s">
        <v>513</v>
      </c>
      <c r="F234" s="116">
        <v>1985.0</v>
      </c>
      <c r="G234" s="116">
        <v>1997.0</v>
      </c>
      <c r="H234" s="113" t="s">
        <v>1090</v>
      </c>
      <c r="I234" s="117"/>
      <c r="J234" s="117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</row>
    <row r="235">
      <c r="A235" s="113" t="s">
        <v>1091</v>
      </c>
      <c r="B235" s="114" t="s">
        <v>1092</v>
      </c>
      <c r="C235" s="113" t="s">
        <v>1093</v>
      </c>
      <c r="D235" s="115">
        <v>12055.0</v>
      </c>
      <c r="E235" s="115">
        <v>41640.0</v>
      </c>
      <c r="F235" s="116">
        <v>1983.0</v>
      </c>
      <c r="G235" s="116">
        <v>1999.0</v>
      </c>
      <c r="H235" s="113" t="s">
        <v>1094</v>
      </c>
      <c r="I235" s="113"/>
      <c r="J235" s="113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</row>
    <row r="236">
      <c r="A236" s="113" t="s">
        <v>1095</v>
      </c>
      <c r="B236" s="114" t="s">
        <v>1096</v>
      </c>
      <c r="C236" s="113" t="s">
        <v>1097</v>
      </c>
      <c r="D236" s="115">
        <v>12260.0</v>
      </c>
      <c r="E236" s="113" t="s">
        <v>513</v>
      </c>
      <c r="F236" s="120">
        <v>1986.0</v>
      </c>
      <c r="G236" s="120" t="s">
        <v>1098</v>
      </c>
      <c r="H236" s="119" t="s">
        <v>1099</v>
      </c>
      <c r="I236" s="113"/>
      <c r="J236" s="113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</row>
    <row r="237">
      <c r="A237" s="113" t="s">
        <v>1100</v>
      </c>
      <c r="B237" s="114" t="s">
        <v>1101</v>
      </c>
      <c r="C237" s="113" t="s">
        <v>1102</v>
      </c>
      <c r="D237" s="115">
        <v>12420.0</v>
      </c>
      <c r="E237" s="113" t="s">
        <v>513</v>
      </c>
      <c r="F237" s="120">
        <v>1996.0</v>
      </c>
      <c r="G237" s="120">
        <v>2000.0</v>
      </c>
      <c r="H237" s="121"/>
      <c r="I237" s="113"/>
      <c r="J237" s="113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</row>
    <row r="238">
      <c r="A238" s="113" t="s">
        <v>1103</v>
      </c>
      <c r="B238" s="114" t="s">
        <v>1104</v>
      </c>
      <c r="C238" s="113" t="s">
        <v>1105</v>
      </c>
      <c r="D238" s="115">
        <v>12463.0</v>
      </c>
      <c r="E238" s="113" t="s">
        <v>513</v>
      </c>
      <c r="F238" s="116">
        <v>1978.0</v>
      </c>
      <c r="G238" s="116">
        <v>1997.0</v>
      </c>
      <c r="H238" s="113" t="s">
        <v>1106</v>
      </c>
      <c r="I238" s="124" t="s">
        <v>1107</v>
      </c>
      <c r="J238" s="119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</row>
    <row r="239">
      <c r="A239" s="113" t="s">
        <v>1108</v>
      </c>
      <c r="B239" s="114" t="s">
        <v>1109</v>
      </c>
      <c r="C239" s="113" t="s">
        <v>1110</v>
      </c>
      <c r="D239" s="115">
        <v>12463.0</v>
      </c>
      <c r="E239" s="113" t="s">
        <v>513</v>
      </c>
      <c r="F239" s="120" t="s">
        <v>513</v>
      </c>
      <c r="G239" s="120" t="s">
        <v>513</v>
      </c>
      <c r="H239" s="119" t="s">
        <v>1111</v>
      </c>
      <c r="I239" s="117"/>
      <c r="J239" s="117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</row>
    <row r="240">
      <c r="A240" s="113" t="s">
        <v>1112</v>
      </c>
      <c r="B240" s="114" t="s">
        <v>1113</v>
      </c>
      <c r="C240" s="113" t="s">
        <v>1114</v>
      </c>
      <c r="D240" s="115">
        <v>12547.0</v>
      </c>
      <c r="E240" s="113" t="s">
        <v>513</v>
      </c>
      <c r="F240" s="116">
        <v>1984.0</v>
      </c>
      <c r="G240" s="116" t="s">
        <v>513</v>
      </c>
      <c r="H240" s="113" t="s">
        <v>1115</v>
      </c>
      <c r="I240" s="113"/>
      <c r="J240" s="113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</row>
    <row r="241">
      <c r="A241" s="113" t="s">
        <v>1116</v>
      </c>
      <c r="B241" s="114" t="s">
        <v>1117</v>
      </c>
      <c r="C241" s="113" t="s">
        <v>1118</v>
      </c>
      <c r="D241" s="115">
        <v>12560.0</v>
      </c>
      <c r="E241" s="113" t="s">
        <v>513</v>
      </c>
      <c r="F241" s="116" t="s">
        <v>513</v>
      </c>
      <c r="G241" s="116" t="s">
        <v>513</v>
      </c>
      <c r="H241" s="113" t="s">
        <v>1119</v>
      </c>
      <c r="I241" s="119" t="s">
        <v>1111</v>
      </c>
      <c r="J241" s="117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</row>
    <row r="242">
      <c r="A242" s="113" t="s">
        <v>1120</v>
      </c>
      <c r="B242" s="114" t="s">
        <v>1121</v>
      </c>
      <c r="C242" s="113" t="s">
        <v>1122</v>
      </c>
      <c r="D242" s="115">
        <v>12578.0</v>
      </c>
      <c r="E242" s="115">
        <v>37777.0</v>
      </c>
      <c r="F242" s="116">
        <v>1990.0</v>
      </c>
      <c r="G242" s="116" t="s">
        <v>513</v>
      </c>
      <c r="H242" s="113" t="s">
        <v>1123</v>
      </c>
      <c r="I242" s="125"/>
      <c r="J242" s="125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</row>
    <row r="243">
      <c r="A243" s="113" t="s">
        <v>1124</v>
      </c>
      <c r="B243" s="114" t="s">
        <v>1125</v>
      </c>
      <c r="C243" s="113" t="s">
        <v>1126</v>
      </c>
      <c r="D243" s="115">
        <v>12807.0</v>
      </c>
      <c r="E243" s="113" t="s">
        <v>513</v>
      </c>
      <c r="F243" s="116">
        <v>1969.0</v>
      </c>
      <c r="G243" s="116">
        <v>2006.0</v>
      </c>
      <c r="H243" s="113" t="s">
        <v>1127</v>
      </c>
      <c r="I243" s="114" t="s">
        <v>1128</v>
      </c>
      <c r="J243" s="113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</row>
    <row r="244">
      <c r="A244" s="113" t="s">
        <v>1129</v>
      </c>
      <c r="B244" s="114" t="s">
        <v>1130</v>
      </c>
      <c r="C244" s="113" t="s">
        <v>1131</v>
      </c>
      <c r="D244" s="115">
        <v>12844.0</v>
      </c>
      <c r="E244" s="115">
        <v>38594.0</v>
      </c>
      <c r="F244" s="116">
        <v>1977.0</v>
      </c>
      <c r="G244" s="116">
        <v>2000.0</v>
      </c>
      <c r="H244" s="113" t="s">
        <v>1132</v>
      </c>
      <c r="I244" s="124" t="s">
        <v>1133</v>
      </c>
      <c r="J244" s="117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</row>
    <row r="245">
      <c r="A245" s="132" t="s">
        <v>1134</v>
      </c>
      <c r="B245" s="133" t="s">
        <v>1135</v>
      </c>
      <c r="C245" s="132" t="s">
        <v>1136</v>
      </c>
      <c r="D245" s="134">
        <v>13150.0</v>
      </c>
      <c r="E245" s="132" t="s">
        <v>513</v>
      </c>
      <c r="F245" s="135">
        <v>1982.0</v>
      </c>
      <c r="G245" s="135">
        <v>1990.0</v>
      </c>
      <c r="H245" s="132" t="s">
        <v>1137</v>
      </c>
      <c r="I245" s="132"/>
      <c r="J245" s="132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</row>
    <row r="246">
      <c r="A246" s="132" t="s">
        <v>1138</v>
      </c>
      <c r="B246" s="133" t="s">
        <v>1139</v>
      </c>
      <c r="C246" s="132" t="s">
        <v>1140</v>
      </c>
      <c r="D246" s="134">
        <v>13150.0</v>
      </c>
      <c r="E246" s="132" t="s">
        <v>513</v>
      </c>
      <c r="F246" s="135">
        <v>1980.0</v>
      </c>
      <c r="G246" s="135">
        <v>1985.0</v>
      </c>
      <c r="H246" s="132" t="s">
        <v>1141</v>
      </c>
      <c r="I246" s="132"/>
      <c r="J246" s="132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</row>
    <row r="247">
      <c r="A247" s="132" t="s">
        <v>1142</v>
      </c>
      <c r="B247" s="133" t="s">
        <v>1143</v>
      </c>
      <c r="C247" s="132" t="s">
        <v>1144</v>
      </c>
      <c r="D247" s="134">
        <v>13306.0</v>
      </c>
      <c r="E247" s="132" t="s">
        <v>513</v>
      </c>
      <c r="F247" s="135">
        <v>1982.0</v>
      </c>
      <c r="G247" s="135">
        <v>1987.0</v>
      </c>
      <c r="H247" s="132" t="s">
        <v>1145</v>
      </c>
      <c r="I247" s="137"/>
      <c r="J247" s="137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</row>
    <row r="248">
      <c r="A248" s="132" t="s">
        <v>1146</v>
      </c>
      <c r="B248" s="133" t="s">
        <v>1147</v>
      </c>
      <c r="C248" s="132" t="s">
        <v>1148</v>
      </c>
      <c r="D248" s="134">
        <v>13406.0</v>
      </c>
      <c r="E248" s="132" t="s">
        <v>513</v>
      </c>
      <c r="F248" s="135" t="s">
        <v>513</v>
      </c>
      <c r="G248" s="135" t="s">
        <v>513</v>
      </c>
      <c r="H248" s="132" t="s">
        <v>1149</v>
      </c>
      <c r="I248" s="132"/>
      <c r="J248" s="132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</row>
    <row r="249">
      <c r="A249" s="132" t="s">
        <v>1150</v>
      </c>
      <c r="B249" s="133" t="s">
        <v>1151</v>
      </c>
      <c r="C249" s="132" t="s">
        <v>1152</v>
      </c>
      <c r="D249" s="134">
        <v>13516.0</v>
      </c>
      <c r="E249" s="132" t="s">
        <v>513</v>
      </c>
      <c r="F249" s="138" t="s">
        <v>513</v>
      </c>
      <c r="G249" s="138" t="s">
        <v>513</v>
      </c>
      <c r="H249" s="139"/>
      <c r="I249" s="137"/>
      <c r="J249" s="137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</row>
    <row r="250">
      <c r="A250" s="132" t="s">
        <v>1153</v>
      </c>
      <c r="B250" s="133" t="s">
        <v>1154</v>
      </c>
      <c r="C250" s="132" t="s">
        <v>1155</v>
      </c>
      <c r="D250" s="134">
        <v>13516.0</v>
      </c>
      <c r="E250" s="132" t="s">
        <v>513</v>
      </c>
      <c r="F250" s="135">
        <v>1972.0</v>
      </c>
      <c r="G250" s="135">
        <v>1997.0</v>
      </c>
      <c r="H250" s="140" t="s">
        <v>1156</v>
      </c>
      <c r="I250" s="132"/>
      <c r="J250" s="132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</row>
    <row r="251">
      <c r="A251" s="132" t="s">
        <v>1157</v>
      </c>
      <c r="B251" s="133" t="s">
        <v>1158</v>
      </c>
      <c r="C251" s="132" t="s">
        <v>1159</v>
      </c>
      <c r="D251" s="134">
        <v>13516.0</v>
      </c>
      <c r="E251" s="132" t="s">
        <v>513</v>
      </c>
      <c r="F251" s="135">
        <v>1995.0</v>
      </c>
      <c r="G251" s="135">
        <v>2006.0</v>
      </c>
      <c r="H251" s="132" t="s">
        <v>1160</v>
      </c>
      <c r="I251" s="137"/>
      <c r="J251" s="137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</row>
    <row r="252">
      <c r="A252" s="132" t="s">
        <v>1161</v>
      </c>
      <c r="B252" s="133" t="s">
        <v>1162</v>
      </c>
      <c r="C252" s="132" t="s">
        <v>1163</v>
      </c>
      <c r="D252" s="134">
        <v>13560.0</v>
      </c>
      <c r="E252" s="134">
        <v>43948.0</v>
      </c>
      <c r="F252" s="135">
        <v>1971.0</v>
      </c>
      <c r="G252" s="135">
        <v>2003.0</v>
      </c>
      <c r="H252" s="132" t="s">
        <v>1164</v>
      </c>
      <c r="I252" s="132"/>
      <c r="J252" s="132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</row>
    <row r="253">
      <c r="A253" s="132" t="s">
        <v>1165</v>
      </c>
      <c r="B253" s="133" t="s">
        <v>1166</v>
      </c>
      <c r="C253" s="132" t="s">
        <v>1167</v>
      </c>
      <c r="D253" s="134">
        <v>13628.0</v>
      </c>
      <c r="E253" s="132" t="s">
        <v>513</v>
      </c>
      <c r="F253" s="138" t="s">
        <v>513</v>
      </c>
      <c r="G253" s="138" t="s">
        <v>513</v>
      </c>
      <c r="H253" s="141"/>
      <c r="I253" s="132"/>
      <c r="J253" s="132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</row>
    <row r="254">
      <c r="A254" s="132" t="s">
        <v>1168</v>
      </c>
      <c r="B254" s="133" t="s">
        <v>1169</v>
      </c>
      <c r="C254" s="132" t="s">
        <v>1170</v>
      </c>
      <c r="D254" s="134">
        <v>13776.0</v>
      </c>
      <c r="E254" s="132" t="s">
        <v>513</v>
      </c>
      <c r="F254" s="135" t="s">
        <v>513</v>
      </c>
      <c r="G254" s="135" t="s">
        <v>513</v>
      </c>
      <c r="H254" s="132" t="s">
        <v>1171</v>
      </c>
      <c r="I254" s="132"/>
      <c r="J254" s="132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</row>
    <row r="255">
      <c r="A255" s="132" t="s">
        <v>1172</v>
      </c>
      <c r="B255" s="133" t="s">
        <v>1173</v>
      </c>
      <c r="C255" s="132" t="s">
        <v>1174</v>
      </c>
      <c r="D255" s="134">
        <v>13881.0</v>
      </c>
      <c r="E255" s="132" t="s">
        <v>513</v>
      </c>
      <c r="F255" s="138" t="s">
        <v>513</v>
      </c>
      <c r="G255" s="138" t="s">
        <v>513</v>
      </c>
      <c r="H255" s="142" t="s">
        <v>1175</v>
      </c>
      <c r="I255" s="132"/>
      <c r="J255" s="132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</row>
    <row r="256">
      <c r="A256" s="132" t="s">
        <v>1176</v>
      </c>
      <c r="B256" s="133" t="s">
        <v>1177</v>
      </c>
      <c r="C256" s="132" t="s">
        <v>1178</v>
      </c>
      <c r="D256" s="134">
        <v>13881.0</v>
      </c>
      <c r="E256" s="132" t="s">
        <v>513</v>
      </c>
      <c r="F256" s="135">
        <v>2000.0</v>
      </c>
      <c r="G256" s="135">
        <v>2005.0</v>
      </c>
      <c r="H256" s="132" t="s">
        <v>1179</v>
      </c>
      <c r="I256" s="132"/>
      <c r="J256" s="132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</row>
    <row r="257">
      <c r="A257" s="132" t="s">
        <v>1180</v>
      </c>
      <c r="B257" s="133" t="s">
        <v>1181</v>
      </c>
      <c r="C257" s="132" t="s">
        <v>1182</v>
      </c>
      <c r="D257" s="134">
        <v>13881.0</v>
      </c>
      <c r="E257" s="132" t="s">
        <v>513</v>
      </c>
      <c r="F257" s="135"/>
      <c r="G257" s="135"/>
      <c r="H257" s="132" t="s">
        <v>1183</v>
      </c>
      <c r="I257" s="132"/>
      <c r="J257" s="132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</row>
    <row r="258">
      <c r="A258" s="132" t="s">
        <v>1184</v>
      </c>
      <c r="B258" s="133" t="s">
        <v>1185</v>
      </c>
      <c r="C258" s="132" t="s">
        <v>1186</v>
      </c>
      <c r="D258" s="134">
        <v>13887.0</v>
      </c>
      <c r="E258" s="132" t="s">
        <v>513</v>
      </c>
      <c r="F258" s="135">
        <v>1982.0</v>
      </c>
      <c r="G258" s="135">
        <v>2004.0</v>
      </c>
      <c r="H258" s="140" t="s">
        <v>1187</v>
      </c>
      <c r="I258" s="132"/>
      <c r="J258" s="132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</row>
    <row r="259">
      <c r="A259" s="132" t="s">
        <v>1188</v>
      </c>
      <c r="B259" s="133" t="s">
        <v>1189</v>
      </c>
      <c r="C259" s="132" t="s">
        <v>1190</v>
      </c>
      <c r="D259" s="134">
        <v>13989.0</v>
      </c>
      <c r="E259" s="134">
        <v>38655.0</v>
      </c>
      <c r="F259" s="138" t="s">
        <v>513</v>
      </c>
      <c r="G259" s="138" t="s">
        <v>513</v>
      </c>
      <c r="H259" s="139"/>
      <c r="I259" s="132"/>
      <c r="J259" s="132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</row>
    <row r="260">
      <c r="A260" s="132" t="s">
        <v>1191</v>
      </c>
      <c r="B260" s="133" t="s">
        <v>1192</v>
      </c>
      <c r="C260" s="132" t="s">
        <v>1193</v>
      </c>
      <c r="D260" s="134">
        <v>14045.0</v>
      </c>
      <c r="E260" s="132" t="s">
        <v>513</v>
      </c>
      <c r="F260" s="135">
        <v>1986.0</v>
      </c>
      <c r="G260" s="135">
        <v>2006.0</v>
      </c>
      <c r="H260" s="132" t="s">
        <v>1194</v>
      </c>
      <c r="I260" s="132"/>
      <c r="J260" s="132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</row>
    <row r="261">
      <c r="A261" s="132" t="s">
        <v>1195</v>
      </c>
      <c r="B261" s="133" t="s">
        <v>1196</v>
      </c>
      <c r="C261" s="132" t="s">
        <v>1197</v>
      </c>
      <c r="D261" s="134">
        <v>14114.0</v>
      </c>
      <c r="E261" s="132" t="s">
        <v>513</v>
      </c>
      <c r="F261" s="135" t="s">
        <v>513</v>
      </c>
      <c r="G261" s="135" t="s">
        <v>513</v>
      </c>
      <c r="H261" s="132" t="s">
        <v>1198</v>
      </c>
      <c r="I261" s="137"/>
      <c r="J261" s="137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</row>
    <row r="262">
      <c r="A262" s="132" t="s">
        <v>1199</v>
      </c>
      <c r="B262" s="133" t="s">
        <v>1200</v>
      </c>
      <c r="C262" s="132" t="s">
        <v>1201</v>
      </c>
      <c r="D262" s="134">
        <v>14181.0</v>
      </c>
      <c r="E262" s="132" t="s">
        <v>513</v>
      </c>
      <c r="F262" s="135">
        <v>1982.0</v>
      </c>
      <c r="G262" s="135">
        <v>1988.0</v>
      </c>
      <c r="H262" s="132" t="s">
        <v>1202</v>
      </c>
      <c r="I262" s="132"/>
      <c r="J262" s="132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</row>
    <row r="263">
      <c r="A263" s="132" t="s">
        <v>1203</v>
      </c>
      <c r="B263" s="133" t="s">
        <v>1204</v>
      </c>
      <c r="C263" s="132" t="s">
        <v>1205</v>
      </c>
      <c r="D263" s="134">
        <v>14214.0</v>
      </c>
      <c r="E263" s="134">
        <v>43690.0</v>
      </c>
      <c r="F263" s="135" t="s">
        <v>513</v>
      </c>
      <c r="G263" s="135" t="s">
        <v>513</v>
      </c>
      <c r="H263" s="132" t="s">
        <v>1206</v>
      </c>
      <c r="I263" s="137"/>
      <c r="J263" s="137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</row>
    <row r="264">
      <c r="A264" s="132" t="s">
        <v>1207</v>
      </c>
      <c r="B264" s="133" t="s">
        <v>1208</v>
      </c>
      <c r="C264" s="132" t="s">
        <v>1209</v>
      </c>
      <c r="D264" s="134">
        <v>14246.0</v>
      </c>
      <c r="E264" s="132" t="s">
        <v>513</v>
      </c>
      <c r="F264" s="135" t="s">
        <v>513</v>
      </c>
      <c r="G264" s="135" t="s">
        <v>513</v>
      </c>
      <c r="H264" s="132" t="s">
        <v>1210</v>
      </c>
      <c r="I264" s="132"/>
      <c r="J264" s="132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</row>
    <row r="265">
      <c r="A265" s="132" t="s">
        <v>1211</v>
      </c>
      <c r="B265" s="133" t="s">
        <v>1212</v>
      </c>
      <c r="C265" s="132" t="s">
        <v>1213</v>
      </c>
      <c r="D265" s="134">
        <v>14340.0</v>
      </c>
      <c r="E265" s="132" t="s">
        <v>513</v>
      </c>
      <c r="F265" s="135" t="s">
        <v>513</v>
      </c>
      <c r="G265" s="135" t="s">
        <v>513</v>
      </c>
      <c r="H265" s="132" t="s">
        <v>1214</v>
      </c>
      <c r="I265" s="132"/>
      <c r="J265" s="132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</row>
    <row r="266">
      <c r="A266" s="132" t="s">
        <v>1215</v>
      </c>
      <c r="B266" s="133" t="s">
        <v>1216</v>
      </c>
      <c r="C266" s="132" t="s">
        <v>1217</v>
      </c>
      <c r="D266" s="134">
        <v>14347.0</v>
      </c>
      <c r="E266" s="132" t="s">
        <v>513</v>
      </c>
      <c r="F266" s="135">
        <v>1983.0</v>
      </c>
      <c r="G266" s="135">
        <v>2000.0</v>
      </c>
      <c r="H266" s="132" t="s">
        <v>1218</v>
      </c>
      <c r="I266" s="132"/>
      <c r="J266" s="132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</row>
    <row r="267">
      <c r="A267" s="132" t="s">
        <v>1219</v>
      </c>
      <c r="B267" s="133" t="s">
        <v>1220</v>
      </c>
      <c r="C267" s="132" t="s">
        <v>1221</v>
      </c>
      <c r="D267" s="134">
        <v>14384.0</v>
      </c>
      <c r="E267" s="134">
        <v>42916.0</v>
      </c>
      <c r="F267" s="138" t="s">
        <v>513</v>
      </c>
      <c r="G267" s="138" t="s">
        <v>513</v>
      </c>
      <c r="H267" s="139"/>
      <c r="I267" s="132"/>
      <c r="J267" s="132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</row>
    <row r="268">
      <c r="A268" s="132" t="s">
        <v>1222</v>
      </c>
      <c r="B268" s="133" t="s">
        <v>1223</v>
      </c>
      <c r="C268" s="132" t="s">
        <v>1224</v>
      </c>
      <c r="D268" s="134">
        <v>14448.0</v>
      </c>
      <c r="E268" s="132" t="s">
        <v>513</v>
      </c>
      <c r="F268" s="135">
        <v>2000.0</v>
      </c>
      <c r="G268" s="135">
        <v>2006.0</v>
      </c>
      <c r="H268" s="140" t="s">
        <v>1225</v>
      </c>
      <c r="I268" s="132"/>
      <c r="J268" s="132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</row>
    <row r="269">
      <c r="A269" s="132" t="s">
        <v>1226</v>
      </c>
      <c r="B269" s="133" t="s">
        <v>1227</v>
      </c>
      <c r="C269" s="132" t="s">
        <v>1228</v>
      </c>
      <c r="D269" s="132" t="s">
        <v>513</v>
      </c>
      <c r="E269" s="132" t="s">
        <v>513</v>
      </c>
      <c r="F269" s="135" t="s">
        <v>513</v>
      </c>
      <c r="G269" s="135" t="s">
        <v>513</v>
      </c>
      <c r="H269" s="132" t="s">
        <v>1229</v>
      </c>
      <c r="I269" s="137"/>
      <c r="J269" s="137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</row>
    <row r="270">
      <c r="A270" s="132" t="s">
        <v>1230</v>
      </c>
      <c r="B270" s="133" t="s">
        <v>1231</v>
      </c>
      <c r="C270" s="132" t="s">
        <v>1232</v>
      </c>
      <c r="D270" s="132" t="s">
        <v>513</v>
      </c>
      <c r="E270" s="132" t="s">
        <v>513</v>
      </c>
      <c r="F270" s="138" t="s">
        <v>513</v>
      </c>
      <c r="G270" s="138" t="s">
        <v>513</v>
      </c>
      <c r="H270" s="139"/>
      <c r="I270" s="132"/>
      <c r="J270" s="132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</row>
    <row r="271">
      <c r="A271" s="132" t="s">
        <v>1233</v>
      </c>
      <c r="B271" s="133" t="s">
        <v>1234</v>
      </c>
      <c r="C271" s="132" t="s">
        <v>1235</v>
      </c>
      <c r="D271" s="132" t="s">
        <v>513</v>
      </c>
      <c r="E271" s="132" t="s">
        <v>513</v>
      </c>
      <c r="F271" s="135" t="s">
        <v>513</v>
      </c>
      <c r="G271" s="135" t="s">
        <v>513</v>
      </c>
      <c r="H271" s="132" t="s">
        <v>1236</v>
      </c>
      <c r="I271" s="137"/>
      <c r="J271" s="137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</row>
    <row r="272">
      <c r="A272" s="132" t="s">
        <v>1237</v>
      </c>
      <c r="B272" s="133" t="s">
        <v>1238</v>
      </c>
      <c r="C272" s="132" t="s">
        <v>1239</v>
      </c>
      <c r="D272" s="132" t="s">
        <v>513</v>
      </c>
      <c r="E272" s="132" t="s">
        <v>513</v>
      </c>
      <c r="F272" s="135">
        <v>1979.0</v>
      </c>
      <c r="G272" s="135" t="s">
        <v>513</v>
      </c>
      <c r="H272" s="132" t="s">
        <v>1240</v>
      </c>
      <c r="I272" s="132"/>
      <c r="J272" s="132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</row>
    <row r="273">
      <c r="A273" s="132" t="s">
        <v>1241</v>
      </c>
      <c r="B273" s="133" t="s">
        <v>1242</v>
      </c>
      <c r="C273" s="132" t="s">
        <v>1243</v>
      </c>
      <c r="D273" s="132" t="s">
        <v>513</v>
      </c>
      <c r="E273" s="132" t="s">
        <v>513</v>
      </c>
      <c r="F273" s="138" t="s">
        <v>513</v>
      </c>
      <c r="G273" s="138" t="s">
        <v>513</v>
      </c>
      <c r="H273" s="141"/>
      <c r="I273" s="137"/>
      <c r="J273" s="137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</row>
    <row r="274">
      <c r="A274" s="132" t="s">
        <v>1244</v>
      </c>
      <c r="B274" s="133" t="s">
        <v>1245</v>
      </c>
      <c r="C274" s="132" t="s">
        <v>1246</v>
      </c>
      <c r="D274" s="132" t="s">
        <v>513</v>
      </c>
      <c r="E274" s="132" t="s">
        <v>513</v>
      </c>
      <c r="F274" s="138" t="s">
        <v>513</v>
      </c>
      <c r="G274" s="138" t="s">
        <v>513</v>
      </c>
      <c r="H274" s="139"/>
      <c r="I274" s="137"/>
      <c r="J274" s="137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</row>
    <row r="275">
      <c r="A275" s="132" t="s">
        <v>1247</v>
      </c>
      <c r="B275" s="133" t="s">
        <v>1248</v>
      </c>
      <c r="C275" s="132" t="s">
        <v>1249</v>
      </c>
      <c r="D275" s="132" t="s">
        <v>513</v>
      </c>
      <c r="E275" s="132" t="s">
        <v>513</v>
      </c>
      <c r="F275" s="135">
        <v>1972.0</v>
      </c>
      <c r="G275" s="135" t="s">
        <v>513</v>
      </c>
      <c r="H275" s="140" t="s">
        <v>1250</v>
      </c>
      <c r="I275" s="132"/>
      <c r="J275" s="132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</row>
    <row r="276">
      <c r="A276" s="132" t="s">
        <v>1251</v>
      </c>
      <c r="B276" s="133" t="s">
        <v>1252</v>
      </c>
      <c r="C276" s="132" t="s">
        <v>1253</v>
      </c>
      <c r="D276" s="132" t="s">
        <v>513</v>
      </c>
      <c r="E276" s="132" t="s">
        <v>513</v>
      </c>
      <c r="F276" s="135">
        <v>1979.0</v>
      </c>
      <c r="G276" s="135">
        <v>1938.0</v>
      </c>
      <c r="H276" s="132" t="s">
        <v>1254</v>
      </c>
      <c r="I276" s="137"/>
      <c r="J276" s="137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</row>
    <row r="277">
      <c r="A277" s="132" t="s">
        <v>1255</v>
      </c>
      <c r="B277" s="133" t="s">
        <v>1256</v>
      </c>
      <c r="C277" s="132" t="s">
        <v>1257</v>
      </c>
      <c r="D277" s="132" t="s">
        <v>513</v>
      </c>
      <c r="E277" s="132" t="s">
        <v>513</v>
      </c>
      <c r="F277" s="138" t="s">
        <v>513</v>
      </c>
      <c r="G277" s="138" t="s">
        <v>513</v>
      </c>
      <c r="H277" s="139"/>
      <c r="I277" s="132"/>
      <c r="J277" s="132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</row>
    <row r="278">
      <c r="A278" s="132" t="s">
        <v>1258</v>
      </c>
      <c r="B278" s="133" t="s">
        <v>1259</v>
      </c>
      <c r="C278" s="132" t="s">
        <v>1260</v>
      </c>
      <c r="D278" s="132" t="s">
        <v>513</v>
      </c>
      <c r="E278" s="132" t="s">
        <v>513</v>
      </c>
      <c r="F278" s="138" t="s">
        <v>513</v>
      </c>
      <c r="G278" s="138" t="s">
        <v>513</v>
      </c>
      <c r="H278" s="141"/>
      <c r="I278" s="132"/>
      <c r="J278" s="132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</row>
    <row r="279">
      <c r="A279" s="132" t="s">
        <v>1261</v>
      </c>
      <c r="B279" s="133" t="s">
        <v>1262</v>
      </c>
      <c r="C279" s="132" t="s">
        <v>1263</v>
      </c>
      <c r="D279" s="132" t="s">
        <v>513</v>
      </c>
      <c r="E279" s="132" t="s">
        <v>513</v>
      </c>
      <c r="F279" s="135" t="s">
        <v>513</v>
      </c>
      <c r="G279" s="135" t="s">
        <v>513</v>
      </c>
      <c r="H279" s="132" t="s">
        <v>1264</v>
      </c>
      <c r="I279" s="132"/>
      <c r="J279" s="132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</row>
    <row r="280">
      <c r="A280" s="132" t="s">
        <v>1265</v>
      </c>
      <c r="B280" s="143" t="s">
        <v>1266</v>
      </c>
      <c r="C280" s="132" t="s">
        <v>1267</v>
      </c>
      <c r="D280" s="132" t="s">
        <v>513</v>
      </c>
      <c r="E280" s="132" t="s">
        <v>513</v>
      </c>
      <c r="F280" s="138" t="s">
        <v>513</v>
      </c>
      <c r="G280" s="138" t="s">
        <v>513</v>
      </c>
      <c r="H280" s="139"/>
      <c r="I280" s="132"/>
      <c r="J280" s="132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</row>
    <row r="281">
      <c r="A281" s="132" t="s">
        <v>1268</v>
      </c>
      <c r="B281" s="133" t="s">
        <v>1269</v>
      </c>
      <c r="C281" s="132" t="s">
        <v>1270</v>
      </c>
      <c r="D281" s="132" t="s">
        <v>513</v>
      </c>
      <c r="E281" s="132" t="s">
        <v>513</v>
      </c>
      <c r="F281" s="138" t="s">
        <v>513</v>
      </c>
      <c r="G281" s="138" t="s">
        <v>513</v>
      </c>
      <c r="H281" s="139"/>
      <c r="I281" s="137"/>
      <c r="J281" s="137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</row>
    <row r="282">
      <c r="A282" s="132" t="s">
        <v>1271</v>
      </c>
      <c r="B282" s="133" t="s">
        <v>1272</v>
      </c>
      <c r="C282" s="132" t="s">
        <v>1273</v>
      </c>
      <c r="D282" s="132" t="s">
        <v>513</v>
      </c>
      <c r="E282" s="132" t="s">
        <v>513</v>
      </c>
      <c r="F282" s="135">
        <v>1950.0</v>
      </c>
      <c r="G282" s="135">
        <v>1952.0</v>
      </c>
      <c r="H282" s="132" t="s">
        <v>1274</v>
      </c>
      <c r="I282" s="132"/>
      <c r="J282" s="132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</row>
    <row r="283">
      <c r="A283" s="132" t="s">
        <v>1275</v>
      </c>
      <c r="B283" s="133" t="s">
        <v>1276</v>
      </c>
      <c r="C283" s="132" t="s">
        <v>1277</v>
      </c>
      <c r="D283" s="132" t="s">
        <v>513</v>
      </c>
      <c r="E283" s="132" t="s">
        <v>513</v>
      </c>
      <c r="F283" s="138" t="s">
        <v>513</v>
      </c>
      <c r="G283" s="138" t="s">
        <v>513</v>
      </c>
      <c r="H283" s="139"/>
      <c r="I283" s="132"/>
      <c r="J283" s="132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</row>
    <row r="284">
      <c r="A284" s="132" t="s">
        <v>328</v>
      </c>
      <c r="B284" s="133" t="s">
        <v>329</v>
      </c>
      <c r="C284" s="132" t="s">
        <v>330</v>
      </c>
      <c r="D284" s="132" t="s">
        <v>513</v>
      </c>
      <c r="E284" s="132" t="s">
        <v>513</v>
      </c>
      <c r="F284" s="135">
        <v>1954.0</v>
      </c>
      <c r="G284" s="135">
        <v>1968.0</v>
      </c>
      <c r="H284" s="132" t="s">
        <v>1278</v>
      </c>
      <c r="I284" s="132"/>
      <c r="J284" s="132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</row>
    <row r="285">
      <c r="A285" s="132" t="s">
        <v>1279</v>
      </c>
      <c r="B285" s="133" t="s">
        <v>1280</v>
      </c>
      <c r="C285" s="132" t="s">
        <v>1281</v>
      </c>
      <c r="D285" s="132" t="s">
        <v>513</v>
      </c>
      <c r="E285" s="132" t="s">
        <v>513</v>
      </c>
      <c r="F285" s="138" t="s">
        <v>513</v>
      </c>
      <c r="G285" s="138" t="s">
        <v>513</v>
      </c>
      <c r="H285" s="139"/>
      <c r="I285" s="132"/>
      <c r="J285" s="132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</row>
    <row r="286">
      <c r="A286" s="132" t="s">
        <v>1282</v>
      </c>
      <c r="B286" s="133" t="s">
        <v>1283</v>
      </c>
      <c r="C286" s="132" t="s">
        <v>1284</v>
      </c>
      <c r="D286" s="132" t="s">
        <v>513</v>
      </c>
      <c r="E286" s="132" t="s">
        <v>513</v>
      </c>
      <c r="F286" s="135" t="s">
        <v>513</v>
      </c>
      <c r="G286" s="135" t="s">
        <v>513</v>
      </c>
      <c r="H286" s="140" t="s">
        <v>1285</v>
      </c>
      <c r="I286" s="142"/>
      <c r="J286" s="142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</row>
    <row r="287">
      <c r="A287" s="132" t="s">
        <v>1286</v>
      </c>
      <c r="B287" s="133" t="s">
        <v>1287</v>
      </c>
      <c r="C287" s="132" t="s">
        <v>1288</v>
      </c>
      <c r="D287" s="132" t="s">
        <v>513</v>
      </c>
      <c r="E287" s="132" t="s">
        <v>513</v>
      </c>
      <c r="F287" s="138" t="s">
        <v>513</v>
      </c>
      <c r="G287" s="138" t="s">
        <v>513</v>
      </c>
      <c r="H287" s="141"/>
      <c r="I287" s="132"/>
      <c r="J287" s="132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</row>
    <row r="288">
      <c r="A288" s="132" t="s">
        <v>1289</v>
      </c>
      <c r="B288" s="133" t="s">
        <v>1290</v>
      </c>
      <c r="C288" s="132" t="s">
        <v>1291</v>
      </c>
      <c r="D288" s="132" t="s">
        <v>513</v>
      </c>
      <c r="E288" s="132" t="s">
        <v>513</v>
      </c>
      <c r="F288" s="135" t="s">
        <v>513</v>
      </c>
      <c r="G288" s="135" t="s">
        <v>513</v>
      </c>
      <c r="H288" s="140" t="s">
        <v>1292</v>
      </c>
      <c r="I288" s="132"/>
      <c r="J288" s="132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</row>
    <row r="289">
      <c r="A289" s="132" t="s">
        <v>1293</v>
      </c>
      <c r="B289" s="133" t="s">
        <v>1294</v>
      </c>
      <c r="C289" s="132" t="s">
        <v>1295</v>
      </c>
      <c r="D289" s="132" t="s">
        <v>513</v>
      </c>
      <c r="E289" s="132" t="s">
        <v>513</v>
      </c>
      <c r="F289" s="138" t="s">
        <v>513</v>
      </c>
      <c r="G289" s="138" t="s">
        <v>513</v>
      </c>
      <c r="H289" s="141"/>
      <c r="I289" s="132"/>
      <c r="J289" s="132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</row>
    <row r="290">
      <c r="A290" s="132" t="s">
        <v>1296</v>
      </c>
      <c r="B290" s="133" t="s">
        <v>1297</v>
      </c>
      <c r="C290" s="132" t="s">
        <v>1298</v>
      </c>
      <c r="D290" s="132" t="s">
        <v>513</v>
      </c>
      <c r="E290" s="132" t="s">
        <v>513</v>
      </c>
      <c r="F290" s="138" t="s">
        <v>513</v>
      </c>
      <c r="G290" s="138" t="s">
        <v>513</v>
      </c>
      <c r="H290" s="139"/>
      <c r="I290" s="137"/>
      <c r="J290" s="137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</row>
    <row r="291">
      <c r="A291" s="132" t="s">
        <v>1299</v>
      </c>
      <c r="B291" s="133" t="s">
        <v>1300</v>
      </c>
      <c r="C291" s="132" t="s">
        <v>1301</v>
      </c>
      <c r="D291" s="132" t="s">
        <v>513</v>
      </c>
      <c r="E291" s="132" t="s">
        <v>513</v>
      </c>
      <c r="F291" s="138" t="s">
        <v>513</v>
      </c>
      <c r="G291" s="138" t="s">
        <v>513</v>
      </c>
      <c r="H291" s="139"/>
      <c r="I291" s="132"/>
      <c r="J291" s="132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</row>
    <row r="292">
      <c r="A292" s="132" t="s">
        <v>1302</v>
      </c>
      <c r="B292" s="133" t="s">
        <v>1303</v>
      </c>
      <c r="C292" s="132" t="s">
        <v>1304</v>
      </c>
      <c r="D292" s="132" t="s">
        <v>513</v>
      </c>
      <c r="E292" s="132" t="s">
        <v>513</v>
      </c>
      <c r="F292" s="138" t="s">
        <v>513</v>
      </c>
      <c r="G292" s="138" t="s">
        <v>513</v>
      </c>
      <c r="H292" s="139"/>
      <c r="I292" s="132"/>
      <c r="J292" s="132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</row>
    <row r="293">
      <c r="A293" s="132" t="s">
        <v>1305</v>
      </c>
      <c r="B293" s="133" t="s">
        <v>1306</v>
      </c>
      <c r="C293" s="132" t="s">
        <v>1307</v>
      </c>
      <c r="D293" s="132" t="s">
        <v>513</v>
      </c>
      <c r="E293" s="132" t="s">
        <v>513</v>
      </c>
      <c r="F293" s="138" t="s">
        <v>513</v>
      </c>
      <c r="G293" s="138" t="s">
        <v>513</v>
      </c>
      <c r="H293" s="139"/>
      <c r="I293" s="132"/>
      <c r="J293" s="132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</row>
    <row r="294">
      <c r="A294" s="132" t="s">
        <v>1308</v>
      </c>
      <c r="B294" s="133" t="s">
        <v>1309</v>
      </c>
      <c r="C294" s="132" t="s">
        <v>1310</v>
      </c>
      <c r="D294" s="132" t="s">
        <v>513</v>
      </c>
      <c r="E294" s="132" t="s">
        <v>513</v>
      </c>
      <c r="F294" s="138">
        <v>1959.0</v>
      </c>
      <c r="G294" s="138">
        <v>1979.0</v>
      </c>
      <c r="H294" s="139"/>
      <c r="I294" s="132"/>
      <c r="J294" s="132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</row>
    <row r="295">
      <c r="A295" s="132" t="s">
        <v>1311</v>
      </c>
      <c r="B295" s="133" t="s">
        <v>1312</v>
      </c>
      <c r="C295" s="132" t="s">
        <v>1313</v>
      </c>
      <c r="D295" s="132" t="s">
        <v>513</v>
      </c>
      <c r="E295" s="132" t="s">
        <v>513</v>
      </c>
      <c r="F295" s="135" t="s">
        <v>513</v>
      </c>
      <c r="G295" s="135" t="s">
        <v>513</v>
      </c>
      <c r="H295" s="132" t="s">
        <v>1314</v>
      </c>
      <c r="I295" s="132"/>
      <c r="J295" s="132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</row>
    <row r="296">
      <c r="A296" s="144"/>
      <c r="B296" s="144"/>
      <c r="C296" s="145"/>
      <c r="D296" s="144"/>
      <c r="E296" s="146"/>
      <c r="F296" s="147"/>
      <c r="G296" s="147"/>
      <c r="H296" s="144"/>
      <c r="I296" s="144"/>
      <c r="J296" s="144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44"/>
      <c r="B297" s="56"/>
      <c r="C297" s="145"/>
      <c r="D297" s="144"/>
      <c r="E297" s="146"/>
      <c r="F297" s="148"/>
      <c r="G297" s="148"/>
      <c r="H297" s="146"/>
      <c r="I297" s="56"/>
      <c r="J297" s="56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44"/>
      <c r="B298" s="144"/>
      <c r="C298" s="145"/>
      <c r="D298" s="144"/>
      <c r="E298" s="146"/>
      <c r="F298" s="147"/>
      <c r="G298" s="147"/>
      <c r="H298" s="144"/>
      <c r="I298" s="144"/>
      <c r="J298" s="144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44"/>
      <c r="B299" s="144"/>
      <c r="C299" s="145"/>
      <c r="D299" s="144"/>
      <c r="E299" s="146"/>
      <c r="F299" s="147"/>
      <c r="G299" s="147"/>
      <c r="H299" s="144"/>
      <c r="I299" s="144"/>
      <c r="J299" s="144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44"/>
      <c r="B300" s="144"/>
      <c r="C300" s="145"/>
      <c r="D300" s="144"/>
      <c r="E300" s="146"/>
      <c r="F300" s="147"/>
      <c r="G300" s="147"/>
      <c r="H300" s="144"/>
      <c r="I300" s="144"/>
      <c r="J300" s="144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44"/>
      <c r="B301" s="144"/>
      <c r="C301" s="145"/>
      <c r="D301" s="144"/>
      <c r="E301" s="146"/>
      <c r="F301" s="148"/>
      <c r="G301" s="148"/>
      <c r="H301" s="146"/>
      <c r="I301" s="144"/>
      <c r="J301" s="144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44"/>
      <c r="B302" s="144"/>
      <c r="C302" s="145"/>
      <c r="D302" s="144"/>
      <c r="E302" s="146"/>
      <c r="F302" s="147"/>
      <c r="G302" s="147"/>
      <c r="H302" s="144"/>
      <c r="I302" s="144"/>
      <c r="J302" s="144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44"/>
      <c r="B303" s="144"/>
      <c r="C303" s="145"/>
      <c r="D303" s="144"/>
      <c r="E303" s="146"/>
      <c r="F303" s="147"/>
      <c r="G303" s="147"/>
      <c r="H303" s="144"/>
      <c r="I303" s="144"/>
      <c r="J303" s="144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44"/>
      <c r="B304" s="144"/>
      <c r="C304" s="145"/>
      <c r="D304" s="144"/>
      <c r="E304" s="146"/>
      <c r="F304" s="147"/>
      <c r="G304" s="147"/>
      <c r="H304" s="144"/>
      <c r="I304" s="144"/>
      <c r="J304" s="144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44"/>
      <c r="B305" s="56"/>
      <c r="C305" s="145"/>
      <c r="D305" s="144"/>
      <c r="E305" s="146"/>
      <c r="F305" s="148"/>
      <c r="G305" s="148"/>
      <c r="H305" s="146"/>
      <c r="I305" s="56"/>
      <c r="J305" s="56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44"/>
      <c r="B306" s="144"/>
      <c r="C306" s="145"/>
      <c r="D306" s="144"/>
      <c r="E306" s="146"/>
      <c r="F306" s="147"/>
      <c r="G306" s="147"/>
      <c r="H306" s="144"/>
      <c r="I306" s="144"/>
      <c r="J306" s="144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44"/>
      <c r="B307" s="144"/>
      <c r="C307" s="144"/>
      <c r="D307" s="144"/>
      <c r="E307" s="144"/>
      <c r="F307" s="147"/>
      <c r="G307" s="147"/>
      <c r="H307" s="144"/>
      <c r="I307" s="144"/>
      <c r="J307" s="144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44"/>
      <c r="B308" s="144"/>
      <c r="C308" s="145"/>
      <c r="D308" s="144"/>
      <c r="E308" s="144"/>
      <c r="F308" s="147"/>
      <c r="G308" s="147"/>
      <c r="H308" s="144"/>
      <c r="I308" s="144"/>
      <c r="J308" s="144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44"/>
      <c r="B309" s="56"/>
      <c r="C309" s="145"/>
      <c r="D309" s="144"/>
      <c r="E309" s="144"/>
      <c r="F309" s="147"/>
      <c r="G309" s="147"/>
      <c r="H309" s="144"/>
      <c r="I309" s="56"/>
      <c r="J309" s="56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44"/>
      <c r="B310" s="144"/>
      <c r="C310" s="145"/>
      <c r="D310" s="144"/>
      <c r="E310" s="144"/>
      <c r="F310" s="147"/>
      <c r="G310" s="147"/>
      <c r="H310" s="144"/>
      <c r="I310" s="144"/>
      <c r="J310" s="144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44"/>
      <c r="B311" s="144"/>
      <c r="C311" s="145"/>
      <c r="D311" s="144"/>
      <c r="E311" s="144"/>
      <c r="F311" s="147"/>
      <c r="G311" s="147"/>
      <c r="H311" s="144"/>
      <c r="I311" s="144"/>
      <c r="J311" s="144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44"/>
      <c r="B312" s="56"/>
      <c r="C312" s="145"/>
      <c r="D312" s="144"/>
      <c r="E312" s="144"/>
      <c r="F312" s="147"/>
      <c r="G312" s="147"/>
      <c r="H312" s="144"/>
      <c r="I312" s="56"/>
      <c r="J312" s="56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44"/>
      <c r="B313" s="56"/>
      <c r="C313" s="145"/>
      <c r="D313" s="144"/>
      <c r="E313" s="144"/>
      <c r="F313" s="147"/>
      <c r="G313" s="147"/>
      <c r="H313" s="144"/>
      <c r="I313" s="56"/>
      <c r="J313" s="56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44"/>
      <c r="B314" s="144"/>
      <c r="C314" s="145"/>
      <c r="D314" s="144"/>
      <c r="E314" s="144"/>
      <c r="F314" s="147"/>
      <c r="G314" s="147"/>
      <c r="H314" s="144"/>
      <c r="I314" s="144"/>
      <c r="J314" s="144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44"/>
      <c r="B315" s="144"/>
      <c r="C315" s="145"/>
      <c r="D315" s="144"/>
      <c r="E315" s="144"/>
      <c r="F315" s="147"/>
      <c r="G315" s="147"/>
      <c r="H315" s="144"/>
      <c r="I315" s="144"/>
      <c r="J315" s="144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44"/>
      <c r="B316" s="56"/>
      <c r="C316" s="145"/>
      <c r="D316" s="144"/>
      <c r="E316" s="144"/>
      <c r="F316" s="147"/>
      <c r="G316" s="147"/>
      <c r="H316" s="144"/>
      <c r="I316" s="56"/>
      <c r="J316" s="56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44"/>
      <c r="B317" s="56"/>
      <c r="C317" s="145"/>
      <c r="D317" s="144"/>
      <c r="E317" s="144"/>
      <c r="F317" s="147"/>
      <c r="G317" s="147"/>
      <c r="H317" s="144"/>
      <c r="I317" s="56"/>
      <c r="J317" s="56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44"/>
      <c r="B318" s="144"/>
      <c r="C318" s="145"/>
      <c r="D318" s="144"/>
      <c r="E318" s="144"/>
      <c r="F318" s="147"/>
      <c r="G318" s="147"/>
      <c r="H318" s="144"/>
      <c r="I318" s="144"/>
      <c r="J318" s="144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44"/>
      <c r="B319" s="56"/>
      <c r="C319" s="145"/>
      <c r="D319" s="144"/>
      <c r="E319" s="144"/>
      <c r="F319" s="147"/>
      <c r="G319" s="147"/>
      <c r="H319" s="144"/>
      <c r="I319" s="56"/>
      <c r="J319" s="56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44"/>
      <c r="B320" s="56"/>
      <c r="C320" s="145"/>
      <c r="D320" s="144"/>
      <c r="E320" s="144"/>
      <c r="F320" s="147"/>
      <c r="G320" s="147"/>
      <c r="H320" s="144"/>
      <c r="I320" s="56"/>
      <c r="J320" s="56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44"/>
      <c r="B321" s="144"/>
      <c r="C321" s="145"/>
      <c r="D321" s="144"/>
      <c r="E321" s="144"/>
      <c r="F321" s="147"/>
      <c r="G321" s="147"/>
      <c r="H321" s="144"/>
      <c r="I321" s="144"/>
      <c r="J321" s="144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44"/>
      <c r="B322" s="56"/>
      <c r="C322" s="145"/>
      <c r="D322" s="144"/>
      <c r="E322" s="144"/>
      <c r="F322" s="147"/>
      <c r="G322" s="147"/>
      <c r="H322" s="144"/>
      <c r="I322" s="56"/>
      <c r="J322" s="56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44"/>
      <c r="B323" s="144"/>
      <c r="C323" s="145"/>
      <c r="D323" s="144"/>
      <c r="E323" s="144"/>
      <c r="F323" s="147"/>
      <c r="G323" s="147"/>
      <c r="H323" s="144"/>
      <c r="I323" s="144"/>
      <c r="J323" s="144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44"/>
      <c r="B324" s="56"/>
      <c r="C324" s="145"/>
      <c r="D324" s="144"/>
      <c r="E324" s="144"/>
      <c r="F324" s="147"/>
      <c r="G324" s="147"/>
      <c r="H324" s="144"/>
      <c r="I324" s="56"/>
      <c r="J324" s="56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44"/>
      <c r="B325" s="144"/>
      <c r="C325" s="145"/>
      <c r="D325" s="144"/>
      <c r="E325" s="144"/>
      <c r="F325" s="147"/>
      <c r="G325" s="147"/>
      <c r="H325" s="144"/>
      <c r="I325" s="144"/>
      <c r="J325" s="144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44"/>
      <c r="B326" s="56"/>
      <c r="C326" s="145"/>
      <c r="D326" s="144"/>
      <c r="E326" s="144"/>
      <c r="F326" s="147"/>
      <c r="G326" s="147"/>
      <c r="H326" s="144"/>
      <c r="I326" s="56"/>
      <c r="J326" s="56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44"/>
      <c r="B327" s="144"/>
      <c r="C327" s="145"/>
      <c r="D327" s="144"/>
      <c r="E327" s="144"/>
      <c r="F327" s="147"/>
      <c r="G327" s="147"/>
      <c r="H327" s="144"/>
      <c r="I327" s="144"/>
      <c r="J327" s="144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44"/>
      <c r="B328" s="56"/>
      <c r="C328" s="145"/>
      <c r="D328" s="144"/>
      <c r="E328" s="144"/>
      <c r="F328" s="147"/>
      <c r="G328" s="147"/>
      <c r="H328" s="144"/>
      <c r="I328" s="56"/>
      <c r="J328" s="56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44"/>
      <c r="B329" s="56"/>
      <c r="C329" s="145"/>
      <c r="D329" s="144"/>
      <c r="E329" s="144"/>
      <c r="F329" s="147"/>
      <c r="G329" s="147"/>
      <c r="H329" s="144"/>
      <c r="I329" s="56"/>
      <c r="J329" s="56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44"/>
      <c r="B330" s="56"/>
      <c r="C330" s="145"/>
      <c r="D330" s="144"/>
      <c r="E330" s="144"/>
      <c r="F330" s="147"/>
      <c r="G330" s="147"/>
      <c r="H330" s="144"/>
      <c r="I330" s="56"/>
      <c r="J330" s="56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44"/>
      <c r="B331" s="56"/>
      <c r="C331" s="145"/>
      <c r="D331" s="144"/>
      <c r="E331" s="144"/>
      <c r="F331" s="147"/>
      <c r="G331" s="147"/>
      <c r="H331" s="144"/>
      <c r="I331" s="56"/>
      <c r="J331" s="56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44"/>
      <c r="B332" s="56"/>
      <c r="C332" s="145"/>
      <c r="D332" s="144"/>
      <c r="E332" s="144"/>
      <c r="F332" s="147"/>
      <c r="G332" s="147"/>
      <c r="H332" s="144"/>
      <c r="I332" s="56"/>
      <c r="J332" s="56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44"/>
      <c r="B333" s="56"/>
      <c r="C333" s="145"/>
      <c r="D333" s="144"/>
      <c r="E333" s="144"/>
      <c r="F333" s="147"/>
      <c r="G333" s="147"/>
      <c r="H333" s="144"/>
      <c r="I333" s="56"/>
      <c r="J333" s="56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44"/>
      <c r="B334" s="144"/>
      <c r="C334" s="145"/>
      <c r="D334" s="144"/>
      <c r="E334" s="144"/>
      <c r="F334" s="147"/>
      <c r="G334" s="147"/>
      <c r="H334" s="144"/>
      <c r="I334" s="144"/>
      <c r="J334" s="144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55"/>
      <c r="G335" s="55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55"/>
      <c r="G336" s="55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55"/>
      <c r="G337" s="55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55"/>
      <c r="G338" s="55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55"/>
      <c r="G339" s="55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55"/>
      <c r="G340" s="55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55"/>
      <c r="G341" s="55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55"/>
      <c r="G342" s="55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55"/>
      <c r="G343" s="55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55"/>
      <c r="G344" s="55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55"/>
      <c r="G345" s="55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55"/>
      <c r="G346" s="55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55"/>
      <c r="G347" s="55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55"/>
      <c r="G348" s="55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55"/>
      <c r="G349" s="55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55"/>
      <c r="G350" s="55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55"/>
      <c r="G351" s="55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55"/>
      <c r="G352" s="55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55"/>
      <c r="G353" s="55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55"/>
      <c r="G354" s="55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55"/>
      <c r="G355" s="55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55"/>
      <c r="G356" s="55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55"/>
      <c r="G357" s="55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55"/>
      <c r="G358" s="55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55"/>
      <c r="G359" s="55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55"/>
      <c r="G360" s="55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55"/>
      <c r="G361" s="55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55"/>
      <c r="G362" s="55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55"/>
      <c r="G363" s="55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55"/>
      <c r="G364" s="55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55"/>
      <c r="G365" s="55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55"/>
      <c r="G366" s="55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55"/>
      <c r="G367" s="55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55"/>
      <c r="G368" s="55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55"/>
      <c r="G369" s="55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55"/>
      <c r="G370" s="55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55"/>
      <c r="G371" s="55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55"/>
      <c r="G372" s="55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55"/>
      <c r="G373" s="55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55"/>
      <c r="G374" s="55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55"/>
      <c r="G375" s="55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55"/>
      <c r="G376" s="55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55"/>
      <c r="G377" s="55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55"/>
      <c r="G378" s="55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55"/>
      <c r="G379" s="55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55"/>
      <c r="G380" s="55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55"/>
      <c r="G381" s="55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55"/>
      <c r="G382" s="55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55"/>
      <c r="G383" s="55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55"/>
      <c r="G384" s="55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55"/>
      <c r="G385" s="55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55"/>
      <c r="G386" s="55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55"/>
      <c r="G387" s="55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55"/>
      <c r="G388" s="55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55"/>
      <c r="G389" s="55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55"/>
      <c r="G390" s="55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55"/>
      <c r="G391" s="55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55"/>
      <c r="G392" s="55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55"/>
      <c r="G393" s="55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55"/>
      <c r="G394" s="55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55"/>
      <c r="G395" s="55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55"/>
      <c r="G396" s="55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55"/>
      <c r="G397" s="55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55"/>
      <c r="G398" s="55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55"/>
      <c r="G399" s="55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55"/>
      <c r="G400" s="55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55"/>
      <c r="G401" s="55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55"/>
      <c r="G402" s="55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55"/>
      <c r="G403" s="55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55"/>
      <c r="G404" s="55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55"/>
      <c r="G405" s="55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55"/>
      <c r="G406" s="55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55"/>
      <c r="G407" s="55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55"/>
      <c r="G408" s="55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55"/>
      <c r="G409" s="55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55"/>
      <c r="G410" s="55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55"/>
      <c r="G411" s="55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55"/>
      <c r="G412" s="55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55"/>
      <c r="G413" s="55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55"/>
      <c r="G414" s="55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55"/>
      <c r="G415" s="55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55"/>
      <c r="G416" s="55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55"/>
      <c r="G417" s="55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55"/>
      <c r="G418" s="55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55"/>
      <c r="G419" s="55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55"/>
      <c r="G420" s="55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55"/>
      <c r="G421" s="55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55"/>
      <c r="G422" s="55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55"/>
      <c r="G423" s="55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55"/>
      <c r="G424" s="55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55"/>
      <c r="G425" s="55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55"/>
      <c r="G426" s="55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55"/>
      <c r="G427" s="55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55"/>
      <c r="G428" s="55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55"/>
      <c r="G429" s="55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55"/>
      <c r="G430" s="55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55"/>
      <c r="G431" s="55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55"/>
      <c r="G432" s="55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55"/>
      <c r="G433" s="55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55"/>
      <c r="G434" s="55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55"/>
      <c r="G435" s="55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55"/>
      <c r="G436" s="55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55"/>
      <c r="G437" s="55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55"/>
      <c r="G438" s="55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55"/>
      <c r="G439" s="55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55"/>
      <c r="G440" s="55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55"/>
      <c r="G441" s="55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55"/>
      <c r="G442" s="55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55"/>
      <c r="G443" s="55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55"/>
      <c r="G444" s="55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55"/>
      <c r="G445" s="55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55"/>
      <c r="G446" s="55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55"/>
      <c r="G447" s="55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55"/>
      <c r="G448" s="55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55"/>
      <c r="G449" s="55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55"/>
      <c r="G450" s="55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55"/>
      <c r="G451" s="55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55"/>
      <c r="G452" s="55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55"/>
      <c r="G453" s="55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55"/>
      <c r="G454" s="55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55"/>
      <c r="G455" s="55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55"/>
      <c r="G456" s="55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55"/>
      <c r="G457" s="55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55"/>
      <c r="G458" s="55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55"/>
      <c r="G459" s="55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55"/>
      <c r="G460" s="55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55"/>
      <c r="G461" s="55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55"/>
      <c r="G462" s="55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55"/>
      <c r="G463" s="55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55"/>
      <c r="G464" s="55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55"/>
      <c r="G465" s="55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55"/>
      <c r="G466" s="55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55"/>
      <c r="G467" s="55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55"/>
      <c r="G468" s="55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55"/>
      <c r="G469" s="55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55"/>
      <c r="G470" s="55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55"/>
      <c r="G471" s="55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55"/>
      <c r="G472" s="55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55"/>
      <c r="G473" s="55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55"/>
      <c r="G474" s="55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55"/>
      <c r="G475" s="55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55"/>
      <c r="G476" s="55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55"/>
      <c r="G477" s="55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55"/>
      <c r="G478" s="55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55"/>
      <c r="G479" s="55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55"/>
      <c r="G480" s="55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55"/>
      <c r="G481" s="55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55"/>
      <c r="G482" s="55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55"/>
      <c r="G483" s="55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55"/>
      <c r="G484" s="55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55"/>
      <c r="G485" s="55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55"/>
      <c r="G486" s="55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55"/>
      <c r="G487" s="55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55"/>
      <c r="G488" s="55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55"/>
      <c r="G489" s="55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55"/>
      <c r="G490" s="55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55"/>
      <c r="G491" s="55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55"/>
      <c r="G492" s="55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55"/>
      <c r="G493" s="55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55"/>
      <c r="G494" s="55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55"/>
      <c r="G495" s="55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55"/>
      <c r="G496" s="55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55"/>
      <c r="G497" s="55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55"/>
      <c r="G498" s="55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55"/>
      <c r="G499" s="55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55"/>
      <c r="G500" s="55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55"/>
      <c r="G501" s="55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55"/>
      <c r="G502" s="55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55"/>
      <c r="G503" s="55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55"/>
      <c r="G504" s="55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55"/>
      <c r="G505" s="55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55"/>
      <c r="G506" s="55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55"/>
      <c r="G507" s="55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55"/>
      <c r="G508" s="55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55"/>
      <c r="G509" s="55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55"/>
      <c r="G510" s="55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55"/>
      <c r="G511" s="55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55"/>
      <c r="G512" s="55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55"/>
      <c r="G513" s="55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55"/>
      <c r="G514" s="55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55"/>
      <c r="G515" s="55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55"/>
      <c r="G516" s="55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55"/>
      <c r="G517" s="55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55"/>
      <c r="G518" s="55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55"/>
      <c r="G519" s="55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55"/>
      <c r="G520" s="55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55"/>
      <c r="G521" s="55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55"/>
      <c r="G522" s="55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55"/>
      <c r="G523" s="55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55"/>
      <c r="G524" s="55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55"/>
      <c r="G525" s="55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55"/>
      <c r="G526" s="55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55"/>
      <c r="G527" s="55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55"/>
      <c r="G528" s="55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55"/>
      <c r="G529" s="55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55"/>
      <c r="G530" s="55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55"/>
      <c r="G531" s="55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55"/>
      <c r="G532" s="55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55"/>
      <c r="G533" s="55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55"/>
      <c r="G534" s="55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55"/>
      <c r="G535" s="55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55"/>
      <c r="G536" s="55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55"/>
      <c r="G537" s="55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55"/>
      <c r="G538" s="55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55"/>
      <c r="G539" s="55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55"/>
      <c r="G540" s="55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55"/>
      <c r="G541" s="55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55"/>
      <c r="G542" s="55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55"/>
      <c r="G543" s="55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55"/>
      <c r="G544" s="55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55"/>
      <c r="G545" s="55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55"/>
      <c r="G546" s="55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55"/>
      <c r="G547" s="55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55"/>
      <c r="G548" s="55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55"/>
      <c r="G549" s="55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55"/>
      <c r="G550" s="55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55"/>
      <c r="G551" s="55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55"/>
      <c r="G552" s="55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55"/>
      <c r="G553" s="55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55"/>
      <c r="G554" s="55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55"/>
      <c r="G555" s="55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55"/>
      <c r="G556" s="55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55"/>
      <c r="G557" s="55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55"/>
      <c r="G558" s="55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55"/>
      <c r="G559" s="55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55"/>
      <c r="G560" s="55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55"/>
      <c r="G561" s="55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55"/>
      <c r="G562" s="55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55"/>
      <c r="G563" s="55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55"/>
      <c r="G564" s="55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55"/>
      <c r="G565" s="55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55"/>
      <c r="G566" s="55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55"/>
      <c r="G567" s="55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55"/>
      <c r="G568" s="55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55"/>
      <c r="G569" s="55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55"/>
      <c r="G570" s="55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55"/>
      <c r="G571" s="55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55"/>
      <c r="G572" s="55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55"/>
      <c r="G573" s="55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55"/>
      <c r="G574" s="55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55"/>
      <c r="G575" s="55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55"/>
      <c r="G576" s="55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55"/>
      <c r="G577" s="55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55"/>
      <c r="G578" s="55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55"/>
      <c r="G579" s="55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55"/>
      <c r="G580" s="55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55"/>
      <c r="G581" s="55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55"/>
      <c r="G582" s="55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55"/>
      <c r="G583" s="55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55"/>
      <c r="G584" s="55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55"/>
      <c r="G585" s="55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55"/>
      <c r="G586" s="55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55"/>
      <c r="G587" s="55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55"/>
      <c r="G588" s="55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55"/>
      <c r="G589" s="55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55"/>
      <c r="G590" s="55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55"/>
      <c r="G591" s="55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55"/>
      <c r="G592" s="55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55"/>
      <c r="G593" s="55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55"/>
      <c r="G594" s="55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55"/>
      <c r="G595" s="55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55"/>
      <c r="G596" s="55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55"/>
      <c r="G597" s="55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55"/>
      <c r="G598" s="55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55"/>
      <c r="G599" s="55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55"/>
      <c r="G600" s="55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55"/>
      <c r="G601" s="55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55"/>
      <c r="G602" s="55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55"/>
      <c r="G603" s="55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55"/>
      <c r="G604" s="55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55"/>
      <c r="G605" s="55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55"/>
      <c r="G606" s="55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55"/>
      <c r="G607" s="55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55"/>
      <c r="G608" s="55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55"/>
      <c r="G609" s="55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55"/>
      <c r="G610" s="55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55"/>
      <c r="G611" s="55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55"/>
      <c r="G612" s="55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55"/>
      <c r="G613" s="55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55"/>
      <c r="G614" s="55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55"/>
      <c r="G615" s="55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55"/>
      <c r="G616" s="55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55"/>
      <c r="G617" s="55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55"/>
      <c r="G618" s="55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55"/>
      <c r="G619" s="55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55"/>
      <c r="G620" s="55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55"/>
      <c r="G621" s="55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55"/>
      <c r="G622" s="55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55"/>
      <c r="G623" s="55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55"/>
      <c r="G624" s="55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55"/>
      <c r="G625" s="55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55"/>
      <c r="G626" s="55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55"/>
      <c r="G627" s="55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55"/>
      <c r="G628" s="55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55"/>
      <c r="G629" s="55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55"/>
      <c r="G630" s="55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55"/>
      <c r="G631" s="55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55"/>
      <c r="G632" s="55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55"/>
      <c r="G633" s="55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55"/>
      <c r="G634" s="55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55"/>
      <c r="G635" s="55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55"/>
      <c r="G636" s="55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55"/>
      <c r="G637" s="55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55"/>
      <c r="G638" s="55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55"/>
      <c r="G639" s="55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55"/>
      <c r="G640" s="55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55"/>
      <c r="G641" s="55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55"/>
      <c r="G642" s="55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55"/>
      <c r="G643" s="55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55"/>
      <c r="G644" s="55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55"/>
      <c r="G645" s="55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55"/>
      <c r="G646" s="55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55"/>
      <c r="G647" s="55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55"/>
      <c r="G648" s="55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55"/>
      <c r="G649" s="55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55"/>
      <c r="G650" s="55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55"/>
      <c r="G651" s="55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55"/>
      <c r="G652" s="55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55"/>
      <c r="G653" s="55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55"/>
      <c r="G654" s="55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55"/>
      <c r="G655" s="55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55"/>
      <c r="G656" s="55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55"/>
      <c r="G657" s="55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55"/>
      <c r="G658" s="55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55"/>
      <c r="G659" s="55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55"/>
      <c r="G660" s="55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55"/>
      <c r="G661" s="55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55"/>
      <c r="G662" s="55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55"/>
      <c r="G663" s="55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55"/>
      <c r="G664" s="55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55"/>
      <c r="G665" s="55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55"/>
      <c r="G666" s="55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55"/>
      <c r="G667" s="55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55"/>
      <c r="G668" s="55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55"/>
      <c r="G669" s="55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55"/>
      <c r="G670" s="55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55"/>
      <c r="G671" s="55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55"/>
      <c r="G672" s="55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55"/>
      <c r="G673" s="55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55"/>
      <c r="G674" s="55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55"/>
      <c r="G675" s="55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55"/>
      <c r="G676" s="55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55"/>
      <c r="G677" s="55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55"/>
      <c r="G678" s="55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55"/>
      <c r="G679" s="55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55"/>
      <c r="G680" s="55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55"/>
      <c r="G681" s="55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55"/>
      <c r="G682" s="55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55"/>
      <c r="G683" s="55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55"/>
      <c r="G684" s="55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55"/>
      <c r="G685" s="55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55"/>
      <c r="G686" s="55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55"/>
      <c r="G687" s="55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55"/>
      <c r="G688" s="55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55"/>
      <c r="G689" s="55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55"/>
      <c r="G690" s="55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55"/>
      <c r="G691" s="55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55"/>
      <c r="G692" s="55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55"/>
      <c r="G693" s="55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55"/>
      <c r="G694" s="55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55"/>
      <c r="G695" s="55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55"/>
      <c r="G696" s="55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55"/>
      <c r="G697" s="55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55"/>
      <c r="G698" s="55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55"/>
      <c r="G699" s="55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55"/>
      <c r="G700" s="55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55"/>
      <c r="G701" s="55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55"/>
      <c r="G702" s="55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55"/>
      <c r="G703" s="55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55"/>
      <c r="G704" s="55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55"/>
      <c r="G705" s="55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55"/>
      <c r="G706" s="55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55"/>
      <c r="G707" s="55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55"/>
      <c r="G708" s="55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55"/>
      <c r="G709" s="55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55"/>
      <c r="G710" s="55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55"/>
      <c r="G711" s="55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55"/>
      <c r="G712" s="55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55"/>
      <c r="G713" s="55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55"/>
      <c r="G714" s="55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55"/>
      <c r="G715" s="55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55"/>
      <c r="G716" s="55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55"/>
      <c r="G717" s="55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55"/>
      <c r="G718" s="55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55"/>
      <c r="G719" s="55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55"/>
      <c r="G720" s="55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55"/>
      <c r="G721" s="55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55"/>
      <c r="G722" s="55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55"/>
      <c r="G723" s="55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55"/>
      <c r="G724" s="55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55"/>
      <c r="G725" s="55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55"/>
      <c r="G726" s="55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55"/>
      <c r="G727" s="55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55"/>
      <c r="G728" s="55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55"/>
      <c r="G729" s="55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55"/>
      <c r="G730" s="55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55"/>
      <c r="G731" s="55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55"/>
      <c r="G732" s="55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55"/>
      <c r="G733" s="55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55"/>
      <c r="G734" s="55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55"/>
      <c r="G735" s="55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55"/>
      <c r="G736" s="55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55"/>
      <c r="G737" s="55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55"/>
      <c r="G738" s="55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55"/>
      <c r="G739" s="55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55"/>
      <c r="G740" s="55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55"/>
      <c r="G741" s="55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55"/>
      <c r="G742" s="55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55"/>
      <c r="G743" s="55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55"/>
      <c r="G744" s="55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55"/>
      <c r="G745" s="55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55"/>
      <c r="G746" s="55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55"/>
      <c r="G747" s="55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55"/>
      <c r="G748" s="55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55"/>
      <c r="G749" s="55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55"/>
      <c r="G750" s="55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55"/>
      <c r="G751" s="55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55"/>
      <c r="G752" s="55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55"/>
      <c r="G753" s="55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55"/>
      <c r="G754" s="55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55"/>
      <c r="G755" s="55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55"/>
      <c r="G756" s="55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55"/>
      <c r="G757" s="55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55"/>
      <c r="G758" s="55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55"/>
      <c r="G759" s="55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55"/>
      <c r="G760" s="55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55"/>
      <c r="G761" s="55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55"/>
      <c r="G762" s="55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55"/>
      <c r="G763" s="55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55"/>
      <c r="G764" s="55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55"/>
      <c r="G765" s="55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55"/>
      <c r="G766" s="55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55"/>
      <c r="G767" s="55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55"/>
      <c r="G768" s="55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55"/>
      <c r="G769" s="55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55"/>
      <c r="G770" s="55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55"/>
      <c r="G771" s="55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55"/>
      <c r="G772" s="55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55"/>
      <c r="G773" s="55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55"/>
      <c r="G774" s="55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55"/>
      <c r="G775" s="55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55"/>
      <c r="G776" s="55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55"/>
      <c r="G777" s="55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55"/>
      <c r="G778" s="55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55"/>
      <c r="G779" s="55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55"/>
      <c r="G780" s="55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55"/>
      <c r="G781" s="55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55"/>
      <c r="G782" s="55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55"/>
      <c r="G783" s="55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55"/>
      <c r="G784" s="55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55"/>
      <c r="G785" s="55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55"/>
      <c r="G786" s="55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55"/>
      <c r="G787" s="55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55"/>
      <c r="G788" s="55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55"/>
      <c r="G789" s="55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55"/>
      <c r="G790" s="55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55"/>
      <c r="G791" s="55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55"/>
      <c r="G792" s="55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55"/>
      <c r="G793" s="55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55"/>
      <c r="G794" s="55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55"/>
      <c r="G795" s="55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55"/>
      <c r="G796" s="55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55"/>
      <c r="G797" s="55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55"/>
      <c r="G798" s="55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55"/>
      <c r="G799" s="55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55"/>
      <c r="G800" s="55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55"/>
      <c r="G801" s="55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55"/>
      <c r="G802" s="55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55"/>
      <c r="G803" s="55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55"/>
      <c r="G804" s="55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55"/>
      <c r="G805" s="55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55"/>
      <c r="G806" s="55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55"/>
      <c r="G807" s="55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55"/>
      <c r="G808" s="55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55"/>
      <c r="G809" s="55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55"/>
      <c r="G810" s="55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55"/>
      <c r="G811" s="55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55"/>
      <c r="G812" s="55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55"/>
      <c r="G813" s="55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55"/>
      <c r="G814" s="55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55"/>
      <c r="G815" s="55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55"/>
      <c r="G816" s="55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55"/>
      <c r="G817" s="55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55"/>
      <c r="G818" s="55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55"/>
      <c r="G819" s="55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55"/>
      <c r="G820" s="55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55"/>
      <c r="G821" s="55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55"/>
      <c r="G822" s="55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55"/>
      <c r="G823" s="55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55"/>
      <c r="G824" s="55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55"/>
      <c r="G825" s="55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55"/>
      <c r="G826" s="55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55"/>
      <c r="G827" s="55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55"/>
      <c r="G828" s="55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55"/>
      <c r="G829" s="55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55"/>
      <c r="G830" s="55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55"/>
      <c r="G831" s="55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55"/>
      <c r="G832" s="55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55"/>
      <c r="G833" s="55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55"/>
      <c r="G834" s="55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55"/>
      <c r="G835" s="55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55"/>
      <c r="G836" s="55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55"/>
      <c r="G837" s="55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55"/>
      <c r="G838" s="55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55"/>
      <c r="G839" s="55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55"/>
      <c r="G840" s="55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55"/>
      <c r="G841" s="55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55"/>
      <c r="G842" s="55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55"/>
      <c r="G843" s="55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55"/>
      <c r="G844" s="55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55"/>
      <c r="G845" s="55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55"/>
      <c r="G846" s="55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55"/>
      <c r="G847" s="55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55"/>
      <c r="G848" s="55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55"/>
      <c r="G849" s="55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55"/>
      <c r="G850" s="55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55"/>
      <c r="G851" s="55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55"/>
      <c r="G852" s="55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55"/>
      <c r="G853" s="55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55"/>
      <c r="G854" s="55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55"/>
      <c r="G855" s="55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55"/>
      <c r="G856" s="55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55"/>
      <c r="G857" s="55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55"/>
      <c r="G858" s="55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55"/>
      <c r="G859" s="55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55"/>
      <c r="G860" s="55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55"/>
      <c r="G861" s="55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55"/>
      <c r="G862" s="55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55"/>
      <c r="G863" s="55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55"/>
      <c r="G864" s="55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55"/>
      <c r="G865" s="55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55"/>
      <c r="G866" s="55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55"/>
      <c r="G867" s="55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55"/>
      <c r="G868" s="55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55"/>
      <c r="G869" s="55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55"/>
      <c r="G870" s="55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55"/>
      <c r="G871" s="55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55"/>
      <c r="G872" s="55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55"/>
      <c r="G873" s="55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55"/>
      <c r="G874" s="55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55"/>
      <c r="G875" s="55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55"/>
      <c r="G876" s="55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55"/>
      <c r="G877" s="55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55"/>
      <c r="G878" s="55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55"/>
      <c r="G879" s="55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55"/>
      <c r="G880" s="55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55"/>
      <c r="G881" s="55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55"/>
      <c r="G882" s="55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55"/>
      <c r="G883" s="55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55"/>
      <c r="G884" s="55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55"/>
      <c r="G885" s="55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55"/>
      <c r="G886" s="55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55"/>
      <c r="G887" s="55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55"/>
      <c r="G888" s="55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55"/>
      <c r="G889" s="55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55"/>
      <c r="G890" s="55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55"/>
      <c r="G891" s="55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55"/>
      <c r="G892" s="55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55"/>
      <c r="G893" s="55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55"/>
      <c r="G894" s="55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55"/>
      <c r="G895" s="55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55"/>
      <c r="G896" s="55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55"/>
      <c r="G897" s="55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55"/>
      <c r="G898" s="55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55"/>
      <c r="G899" s="55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55"/>
      <c r="G900" s="55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55"/>
      <c r="G901" s="55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55"/>
      <c r="G902" s="55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55"/>
      <c r="G903" s="55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55"/>
      <c r="G904" s="55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55"/>
      <c r="G905" s="55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55"/>
      <c r="G906" s="55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55"/>
      <c r="G907" s="55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55"/>
      <c r="G908" s="55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55"/>
      <c r="G909" s="55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55"/>
      <c r="G910" s="55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55"/>
      <c r="G911" s="55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55"/>
      <c r="G912" s="55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55"/>
      <c r="G913" s="55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55"/>
      <c r="G914" s="55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55"/>
      <c r="G915" s="55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55"/>
      <c r="G916" s="55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55"/>
      <c r="G917" s="55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55"/>
      <c r="G918" s="55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55"/>
      <c r="G919" s="55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55"/>
      <c r="G920" s="55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55"/>
      <c r="G921" s="55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55"/>
      <c r="G922" s="55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55"/>
      <c r="G923" s="55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55"/>
      <c r="G924" s="55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55"/>
      <c r="G925" s="55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55"/>
      <c r="G926" s="55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55"/>
      <c r="G927" s="55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55"/>
      <c r="G928" s="55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55"/>
      <c r="G929" s="55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55"/>
      <c r="G930" s="55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55"/>
      <c r="G931" s="55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55"/>
      <c r="G932" s="55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55"/>
      <c r="G933" s="55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55"/>
      <c r="G934" s="55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55"/>
      <c r="G935" s="55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55"/>
      <c r="G936" s="55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55"/>
      <c r="G937" s="55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55"/>
      <c r="G938" s="55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55"/>
      <c r="G939" s="55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55"/>
      <c r="G940" s="55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55"/>
      <c r="G941" s="55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55"/>
      <c r="G942" s="55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55"/>
      <c r="G943" s="55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55"/>
      <c r="G944" s="55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55"/>
      <c r="G945" s="55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55"/>
      <c r="G946" s="55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55"/>
      <c r="G947" s="55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55"/>
      <c r="G948" s="55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55"/>
      <c r="G949" s="55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55"/>
      <c r="G950" s="55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55"/>
      <c r="G951" s="55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55"/>
      <c r="G952" s="55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55"/>
      <c r="G953" s="55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55"/>
      <c r="G954" s="55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55"/>
      <c r="G955" s="55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55"/>
      <c r="G956" s="55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55"/>
      <c r="G957" s="55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55"/>
      <c r="G958" s="55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55"/>
      <c r="G959" s="55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55"/>
      <c r="G960" s="55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55"/>
      <c r="G961" s="55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55"/>
      <c r="G962" s="55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55"/>
      <c r="G963" s="55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55"/>
      <c r="G964" s="55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55"/>
      <c r="G965" s="55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55"/>
      <c r="G966" s="55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55"/>
      <c r="G967" s="55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55"/>
      <c r="G968" s="55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55"/>
      <c r="G969" s="55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55"/>
      <c r="G970" s="55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55"/>
      <c r="G971" s="55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55"/>
      <c r="G972" s="55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55"/>
      <c r="G973" s="55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55"/>
      <c r="G974" s="55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55"/>
      <c r="G975" s="55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55"/>
      <c r="G976" s="55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55"/>
      <c r="G977" s="55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55"/>
      <c r="G978" s="55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55"/>
      <c r="G979" s="55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55"/>
      <c r="G980" s="55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55"/>
      <c r="G981" s="55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55"/>
      <c r="G982" s="55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55"/>
      <c r="G983" s="55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55"/>
      <c r="G984" s="55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55"/>
      <c r="G985" s="55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55"/>
      <c r="G986" s="55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55"/>
      <c r="G987" s="55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55"/>
      <c r="G988" s="55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55"/>
      <c r="G989" s="55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55"/>
      <c r="G990" s="55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55"/>
      <c r="G991" s="55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I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location=":~:text=Eventually%2C%20in%201979%2C%20he%20obtained%20a%20full%20professorship%20in%20biochemistry%20in%20Stockholm.%20After%20his%20retirement%20in%201989%2C%20Viktor%20continued%20his%20research%20until%20the%20very%20day%20of%20his%20death%20on%20September%209%2C%201998." ref="I203"/>
    <hyperlink r:id="rId205" ref="B204"/>
    <hyperlink r:id="rId206" ref="B205"/>
    <hyperlink r:id="rId207" ref="B206"/>
    <hyperlink r:id="rId208" ref="B207"/>
    <hyperlink r:id="rId209" ref="B208"/>
    <hyperlink r:id="rId210" location=":~:text=Hon%20blev%201955%20docent%20i%20medicinsk%20cellforskning%20vid%20Karolinska%20institutet%20och%201962%20docent%20i%20tum%C3%B6rbiologi.%20Hon%20blev%20professor%201969." ref="H208"/>
    <hyperlink r:id="rId211" ref="B209"/>
    <hyperlink r:id="rId212" ref="B210"/>
    <hyperlink r:id="rId213" ref="B211"/>
    <hyperlink r:id="rId214" location="cite_note-lat-1:~:text=till%20he%20retired%20in%201992" ref="I211"/>
    <hyperlink r:id="rId215" ref="B212"/>
    <hyperlink r:id="rId216" ref="B213"/>
    <hyperlink r:id="rId217" ref="B214"/>
    <hyperlink r:id="rId218" ref="I214"/>
    <hyperlink r:id="rId219" ref="B215"/>
    <hyperlink r:id="rId220" ref="B216"/>
    <hyperlink r:id="rId221" ref="B217"/>
    <hyperlink r:id="rId222" ref="B218"/>
    <hyperlink r:id="rId223" ref="B219"/>
    <hyperlink r:id="rId224" ref="B220"/>
    <hyperlink r:id="rId225" ref="I220"/>
    <hyperlink r:id="rId226" ref="B221"/>
    <hyperlink r:id="rId227" location=":~:text=and%20professor%20and%20senior%20physician%20at%20the%20medical%20clinic%20atKarolinska%20Hospital%201986%E2%80%931995" ref="I221"/>
    <hyperlink r:id="rId228" ref="B222"/>
    <hyperlink r:id="rId229" ref="B223"/>
    <hyperlink r:id="rId230" location=":~:text=after%20which%20he%20was%20a%20professor%20at%20KI%201986%E2%80%931995" ref="I223"/>
    <hyperlink r:id="rId231" ref="B224"/>
    <hyperlink r:id="rId232" ref="I224"/>
    <hyperlink r:id="rId233" ref="B225"/>
    <hyperlink r:id="rId234" ref="B226"/>
    <hyperlink r:id="rId235" location=":~:text=later%20joined%20the%20faculty%20of%20the%20Karolinska%20Institutet%20in%20Stockholm%20as%20a%20full%20professor%20of%20histology%20in%201965.%20In%201979%2C%20he%20moved%20to%20Heidelberg" ref="I226"/>
    <hyperlink r:id="rId236" ref="B227"/>
    <hyperlink r:id="rId237" location=":~:text=After%20his%20retirement%2C%20Lennart%20Wetterberg%20was%20a%20professor%20of%20psychiatry%20in%20Norway%2C%20at%20Troms%C3%B6%20University%201998%2D2001" ref="I227"/>
    <hyperlink r:id="rId238" ref="B228"/>
    <hyperlink r:id="rId239" ref="I228"/>
    <hyperlink r:id="rId240" ref="B229"/>
    <hyperlink r:id="rId241" location=":~:text=Assistant%20professor%20University%20G%C3%B6teborg%2C%201961%2D1967%2C%20associate%20professor%2C%201967%2D1974%2C%20acting%20full%20professor%20ophthalmology%2C%201969%2D1974.%20Professor%2C%20chairman%20department%20opthalomology%20Karol%20Institute%2C%20Stockholm%2C%201974%2D1997.%20President%20International%20Society%20Ergophalmology%201978%2D1990." ref="I229"/>
    <hyperlink r:id="rId242" ref="B230"/>
    <hyperlink r:id="rId243" ref="B231"/>
    <hyperlink r:id="rId244" location=":~:text=1965%20and%20a%20docent%20in%20histology%20at%20the%20Karolinska%20Institute%20in%20the%20same%20year" ref="I231"/>
    <hyperlink r:id="rId245" ref="B232"/>
    <hyperlink r:id="rId246" ref="B233"/>
    <hyperlink r:id="rId247" ref="B234"/>
    <hyperlink r:id="rId248" ref="B235"/>
    <hyperlink r:id="rId249" ref="B236"/>
    <hyperlink r:id="rId250" ref="B237"/>
    <hyperlink r:id="rId251" ref="B238"/>
    <hyperlink r:id="rId252" ref="I238"/>
    <hyperlink r:id="rId253" ref="B239"/>
    <hyperlink r:id="rId254" ref="B240"/>
    <hyperlink r:id="rId255" ref="B241"/>
    <hyperlink r:id="rId256" ref="B242"/>
    <hyperlink r:id="rId257" ref="B243"/>
    <hyperlink r:id="rId258" ref="I243"/>
    <hyperlink r:id="rId259" ref="B244"/>
    <hyperlink r:id="rId260" location=":~:text=Ejerci%C3%B3%20el%20profesorado%20en%20el%20Karolinska%20Institutet%20durante%20un%20cuarto%20de%20siglo%2C%20desde%201975%20hasta%202000" ref="I244"/>
    <hyperlink r:id="rId261" ref="B245"/>
    <hyperlink r:id="rId262" ref="B246"/>
    <hyperlink r:id="rId263" ref="B247"/>
    <hyperlink r:id="rId264" ref="B248"/>
    <hyperlink r:id="rId265" ref="B249"/>
    <hyperlink r:id="rId266" ref="B250"/>
    <hyperlink r:id="rId267" ref="B251"/>
    <hyperlink r:id="rId268" ref="B252"/>
    <hyperlink r:id="rId269" ref="B253"/>
    <hyperlink r:id="rId270" ref="B254"/>
    <hyperlink r:id="rId271" ref="B255"/>
    <hyperlink r:id="rId272" ref="B256"/>
    <hyperlink r:id="rId273" ref="B257"/>
    <hyperlink r:id="rId274" ref="B258"/>
    <hyperlink r:id="rId275" ref="B259"/>
    <hyperlink r:id="rId276" ref="B260"/>
    <hyperlink r:id="rId277" ref="B261"/>
    <hyperlink r:id="rId278" ref="B262"/>
    <hyperlink r:id="rId279" ref="B263"/>
    <hyperlink r:id="rId280" ref="B264"/>
    <hyperlink r:id="rId281" ref="B265"/>
    <hyperlink r:id="rId282" ref="B266"/>
    <hyperlink r:id="rId283" ref="B267"/>
    <hyperlink r:id="rId284" ref="B268"/>
    <hyperlink r:id="rId285" ref="B269"/>
    <hyperlink r:id="rId286" ref="B270"/>
    <hyperlink r:id="rId287" ref="B271"/>
    <hyperlink r:id="rId288" ref="B272"/>
    <hyperlink r:id="rId289" ref="B273"/>
    <hyperlink r:id="rId290" ref="B274"/>
    <hyperlink r:id="rId291" ref="B275"/>
    <hyperlink r:id="rId292" ref="B276"/>
    <hyperlink r:id="rId293" ref="B277"/>
    <hyperlink r:id="rId294" ref="B278"/>
    <hyperlink r:id="rId295" ref="B279"/>
    <hyperlink r:id="rId296" ref="B280"/>
    <hyperlink r:id="rId297" ref="B281"/>
    <hyperlink r:id="rId298" ref="B282"/>
    <hyperlink r:id="rId299" ref="B283"/>
    <hyperlink r:id="rId300" ref="B284"/>
    <hyperlink r:id="rId301" ref="B285"/>
    <hyperlink r:id="rId302" ref="B286"/>
    <hyperlink r:id="rId303" ref="B287"/>
    <hyperlink r:id="rId304" ref="B288"/>
    <hyperlink r:id="rId305" ref="B289"/>
    <hyperlink r:id="rId306" ref="B290"/>
    <hyperlink r:id="rId307" ref="B291"/>
    <hyperlink r:id="rId308" ref="B292"/>
    <hyperlink r:id="rId309" ref="B293"/>
    <hyperlink r:id="rId310" ref="B294"/>
    <hyperlink r:id="rId311" ref="B295"/>
  </hyperlinks>
  <drawing r:id="rId312"/>
</worksheet>
</file>